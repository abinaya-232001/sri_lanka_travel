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ceylon kalin\ceylon\ceylon\components\itinerary\data\"/>
    </mc:Choice>
  </mc:AlternateContent>
  <xr:revisionPtr revIDLastSave="0" documentId="13_ncr:1_{376C248A-B908-4022-A45C-F9D2E740BE2F}" xr6:coauthVersionLast="47" xr6:coauthVersionMax="47" xr10:uidLastSave="{00000000-0000-0000-0000-000000000000}"/>
  <bookViews>
    <workbookView xWindow="-108" yWindow="-108" windowWidth="23256" windowHeight="12456" tabRatio="500" xr2:uid="{00000000-000D-0000-FFFF-FFFF00000000}"/>
  </bookViews>
  <sheets>
    <sheet name="All Data" sheetId="1" r:id="rId1"/>
    <sheet name="Best Months" sheetId="2" r:id="rId2"/>
    <sheet name="Destination Alias" sheetId="3" r:id="rId3"/>
  </sheets>
  <definedNames>
    <definedName name="_xlnm._FilterDatabase" localSheetId="0" hidden="1">'All Data'!$A$1:$L$1105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1088" i="1" l="1"/>
  <c r="L1052" i="1"/>
  <c r="L909" i="1"/>
  <c r="L860" i="1"/>
  <c r="L861" i="1"/>
  <c r="L743" i="1"/>
  <c r="L732" i="1"/>
  <c r="L733" i="1"/>
  <c r="L719" i="1"/>
  <c r="L617" i="1"/>
  <c r="L420" i="1"/>
  <c r="L421" i="1"/>
  <c r="L405" i="1"/>
  <c r="L403" i="1"/>
  <c r="L400" i="1"/>
  <c r="L379" i="1"/>
  <c r="L373" i="1"/>
  <c r="L372" i="1"/>
  <c r="L366" i="1"/>
  <c r="L351" i="1"/>
  <c r="L349" i="1"/>
  <c r="L347" i="1"/>
  <c r="L293" i="1"/>
  <c r="L289" i="1"/>
  <c r="L273" i="1"/>
  <c r="L268" i="1"/>
  <c r="L1105" i="1"/>
  <c r="L1104" i="1"/>
  <c r="L1103" i="1"/>
  <c r="L1102" i="1"/>
  <c r="L1101" i="1"/>
  <c r="L1100" i="1"/>
  <c r="L1099" i="1"/>
  <c r="L1098" i="1"/>
  <c r="L1097" i="1"/>
  <c r="L1096" i="1"/>
  <c r="L1095" i="1"/>
  <c r="L1094" i="1"/>
  <c r="L1093" i="1"/>
  <c r="L1092" i="1"/>
  <c r="L1091" i="1"/>
  <c r="L1090" i="1"/>
  <c r="L1089"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2" i="1"/>
  <c r="L741" i="1"/>
  <c r="L740" i="1"/>
  <c r="L739" i="1"/>
  <c r="L738" i="1"/>
  <c r="L737" i="1"/>
  <c r="L736" i="1"/>
  <c r="L735" i="1"/>
  <c r="L734" i="1"/>
  <c r="L731" i="1"/>
  <c r="L730" i="1"/>
  <c r="L729" i="1"/>
  <c r="L728" i="1"/>
  <c r="L727" i="1"/>
  <c r="L726" i="1"/>
  <c r="L725" i="1"/>
  <c r="L724" i="1"/>
  <c r="L723" i="1"/>
  <c r="L722" i="1"/>
  <c r="L721" i="1"/>
  <c r="L720"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19" i="1"/>
  <c r="L418" i="1"/>
  <c r="L417" i="1"/>
  <c r="L416" i="1"/>
  <c r="L415" i="1"/>
  <c r="L414" i="1"/>
  <c r="L413" i="1"/>
  <c r="L412" i="1"/>
  <c r="L411" i="1"/>
  <c r="L410" i="1"/>
  <c r="L409" i="1"/>
  <c r="L408" i="1"/>
  <c r="L407" i="1"/>
  <c r="L406" i="1"/>
  <c r="L404" i="1"/>
  <c r="L402" i="1"/>
  <c r="L401" i="1"/>
  <c r="L399" i="1"/>
  <c r="L398" i="1"/>
  <c r="L397" i="1"/>
  <c r="L396" i="1"/>
  <c r="L395" i="1"/>
  <c r="L394" i="1"/>
  <c r="L393" i="1"/>
  <c r="L392" i="1"/>
  <c r="L391" i="1"/>
  <c r="L390" i="1"/>
  <c r="L389" i="1"/>
  <c r="L388" i="1"/>
  <c r="L387" i="1"/>
  <c r="L386" i="1"/>
  <c r="L385" i="1"/>
  <c r="L384" i="1"/>
  <c r="L383" i="1"/>
  <c r="L382" i="1"/>
  <c r="L381" i="1"/>
  <c r="L380" i="1"/>
  <c r="L378" i="1"/>
  <c r="L377" i="1"/>
  <c r="L376" i="1"/>
  <c r="L375" i="1"/>
  <c r="L374" i="1"/>
  <c r="L371" i="1"/>
  <c r="L370" i="1"/>
  <c r="L369" i="1"/>
  <c r="L368" i="1"/>
  <c r="L367" i="1"/>
  <c r="L365" i="1"/>
  <c r="L364" i="1"/>
  <c r="L363" i="1"/>
  <c r="L362" i="1"/>
  <c r="L361" i="1"/>
  <c r="L360" i="1"/>
  <c r="L359" i="1"/>
  <c r="L358" i="1"/>
  <c r="L357" i="1"/>
  <c r="L356" i="1"/>
  <c r="L355" i="1"/>
  <c r="L354" i="1"/>
  <c r="L353" i="1"/>
  <c r="L352" i="1"/>
  <c r="L350" i="1"/>
  <c r="L348"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2" i="1"/>
  <c r="L291" i="1"/>
  <c r="L290" i="1"/>
  <c r="L288" i="1"/>
  <c r="L287" i="1"/>
  <c r="L286" i="1"/>
  <c r="L285" i="1"/>
  <c r="L284" i="1"/>
  <c r="L283" i="1"/>
  <c r="L282" i="1"/>
  <c r="L281" i="1"/>
  <c r="L280" i="1"/>
  <c r="L279" i="1"/>
  <c r="L278" i="1"/>
  <c r="L277" i="1"/>
  <c r="L276" i="1"/>
  <c r="L275" i="1"/>
  <c r="L274" i="1"/>
  <c r="L272" i="1"/>
  <c r="L271" i="1"/>
  <c r="L270" i="1"/>
  <c r="L269"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100-000001000000}">
      <text>
        <r>
          <rPr>
            <sz val="10"/>
            <rFont val="Arial"/>
            <family val="2"/>
          </rPr>
          <t>Best months per destination, provided by the user. Edit here; "Best Months to Visit" in All Data updates automatically.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200-000001000000}">
      <text>
        <r>
          <rPr>
            <sz val="10"/>
            <rFont val="Arial"/>
            <family val="2"/>
          </rPr>
          <t>Spelling variants in All Data mapped to the Place name in Best Months. Add a row here if a new variant appears.</t>
        </r>
      </text>
    </comment>
  </commentList>
</comments>
</file>

<file path=xl/sharedStrings.xml><?xml version="1.0" encoding="utf-8"?>
<sst xmlns="http://schemas.openxmlformats.org/spreadsheetml/2006/main" count="8941" uniqueCount="1308">
  <si>
    <t>Attraction Name</t>
  </si>
  <si>
    <t>Category</t>
  </si>
  <si>
    <t>Destination</t>
  </si>
  <si>
    <t>Visit Start</t>
  </si>
  <si>
    <t>Visit End</t>
  </si>
  <si>
    <t>Visit_Duration</t>
  </si>
  <si>
    <t>Mood</t>
  </si>
  <si>
    <t>Rating (1-5)</t>
  </si>
  <si>
    <t>Activities</t>
  </si>
  <si>
    <t>Details</t>
  </si>
  <si>
    <t>Image</t>
  </si>
  <si>
    <t>Best Months to Visit</t>
  </si>
  <si>
    <t>Abarana Ella</t>
  </si>
  <si>
    <t>Scenic</t>
  </si>
  <si>
    <t>Hambantota</t>
  </si>
  <si>
    <t>1.5 h</t>
  </si>
  <si>
    <t>Explore</t>
  </si>
  <si>
    <t>Waterfall Hike: Follow the village and forest trail to reach the falls, enjoying streams and greenery on the way. | Waterfall Viewing: Watch the water cascade down the rock face, fullest and most dramatic after rain. | Natural Pool Bathing: Cool off in the shallow pools downstream only when the water is calm (avoid the base during heavy flow).</t>
  </si>
  <si>
    <t>Nice place to have a bath with fun. It is a rocky place and the rocks are slippery. Need more attention to take bath. Visitors are advised to take care underfoot, as conditions can be slippery.</t>
  </si>
  <si>
    <t>data:image/jpeg;base64,/9j/4AAQSkZJRgABAQAAAQABAAD/2wCEAA0JCgsKCA0LCgsODg0PEyAVExISEyccHhcgLikxMC4pLSwzOko+MzZGNywtQFdBRkxOUlNSMj5aYVpQYEpRUk8BDg4OExETJhUVJk81LTVPT09PT09PT09PT09PT09PT09PT09PT09PT09PT09PT09PT09PT09PT09PT09PT09PT//AABEIAIIA9gMBIgACEQEDEQH/xAAbAAABBQEBAAAAAAAAAAAAAAAEAAECAwUGB//EADwQAAIBAwIDBgMHAwMDBQAAAAECAwAEERIhBTFBEyJRYXGBBjKRFBUjQqGxwVLR4TNi8ENy8RYkU4Ky/8QAFwEBAQEBAAAAAAAAAAAAAAAAAAECA//EACARAQEBAAICAgMBAAAAAAAAAAABEQIhEjETUUFhcQP/2gAMAwEAAhEDEQA/APPNGnngCmIXY6uW1Mf92c0sDzqKWV/pPrTgeQ9ami52LYqSQF2GgE0FYUj5h+tRIAPOr2XDYOcjmKgcZO1BVgZ59KcjBJBqR3HnSAoYrpmTu5B51bpwTnlUMDmKGIAYG+9IjcVMmm2oKyAOtKpkU2BQMu9PgeNIKPEVIoDyNERKnHOmxnrmpacHnUgEPNiPSqIKo21EgVIKBvq9jRCFFACAHzYb1GTQTlRjxzUFB0nlTBRnln3xU8DrVoAC/OPpTRQzL/QAPWogAtsDpoqJbcSfiKWXHIHFXFbXYJqwPHbNTVwCFTwNNpXJxnNFdhEVwGAPjmom2zylTPiTV0wN65PvU91wQw9BVv2ZgNpE+tP9lcnbT9amwMMbK5yM9GzTNEpPy5U8iDS+yuCASKl2WnA0jPjimho7QyZKbAedKiIlYJjSduWk4pVnyXIFbyphtRi28e2psbeGKnHaozf6gPkBWtQECelOCc561oNYEAY69SD/AGphZt4j2qeUAZPU1HfoDR0tmFTKdoW8Cox9c0MYZh0b6VZYKsHHymoHIq7Djmv6VBt9sfQURWTUc7VPQfAn2p+y/wC4eooKqVW9iOkin3p/sz6dWkkf7RmqKSaapMmk4OR6jFNo8DQNSzT6DmpiBm+VWPoKaK80qtFrL/SfcVcOG3JXUseR1wRTYBckdaWTRBs5F5g+e4qItwW+YAeJNTYKCTT7ir2t9PzavpTGAn5A7e1XYKSc02TVv2eX+g/SnFs/hTYKcmlk1aYSvzA/SoaB40NR1VIMPOi7OxS4yXkCAdSRWnHwSy7HLXTGTPJSCMVz5c+M9msUSDHMipKyFt3b6ZrZbhVkAArtn/cKYcOskYanJPlWfk4ms+JUbOJMeopVp/ZrQHEVvLKeoA5UqbfpWla8RtpTplTWPBxzFES/d2tWfsgG3GJv2FcnHdXUJJYagdtxmikv21AlQj9Bjat4srr4rbhz7NGuCMriXJB+lNPwO1aEsEKNk7Fzy8q4slWc6go337u9Ti4ne25MaXE6qNwO0O31plXY2xwiMSDVLPpbbc40/pTXHDOGqdAunODguXwP7ULw/jU8lzou5R2LjOTzU+tdJCQey7FEkBUnXnb/ADXTjI52sD7r4f2epLksQOTsCPpzqC2MSuI0t45Sx22bBPhmty4s9SpIJXj5jO2PTeqEvkhQKwiRwcawSQw8cVbxTWTLYyqS33Z3erAMQPfahJxNCCHjlWLmSq6q6NuKzwhHWRlVcmRAmT9f5qu54taXi67lEaVT3SE7uOWCc1Mn2a5WNPtcxjjdGc8tbBP3oyPgF42skRro6h+fpWiLyyWKQXFkCp7w2zz5Ef8Amq2vUyn2ZJIo3xhdPh6c6mKItuCwmIa7lnbqJFGBTS/D9nrwWz4hW2oGS8kYhs4OfMfpWn8PS/apXilJJXvYU748s0l24l0DNwa0AxFDNFj/AKnaZA9ciqP/AE9eF8xa5EzuQNxW2l/HIwUIVd893IORmqdd9b3CtbSkDrnwq5BHhdjYQy9jxOGXUcALI+jUfEeVdDa8FsbiPtLfhds8GMa+0Jz71nRXS3xWK4hRXRQck90nkcUREtgYhF9oiii/Mmog45EY1Vc4s20ZbcC4XcKXj4XbBV56WY/saJ+4OFafxbCHfZQkZJG3Xc1lT/Ftvw6Ls+HIs2CcEZb67Y/WgY/i/i12dNtBAGxuViY4/Ye9TeP0uV0kvwdwkqoKFSw/+PNDT/BfCQjGOVNS8wF/ztWKT8XXqF4J4eeNCSRg59Mmsi84f8UzOUvDeuAflbOPpyrNz6I0L7gvDYGK/bY1dRjAkBOaxrrh8iviGK4kBHPQSMe1MnAuIPhWhddJwS3OtKx4NeRsrGaQYbChXOPPHQ1jFZ8PD7kSaWRl6YO1SHCrVn/FlRSTyDV1Qs5VRlubkpIcnSSMkUL9msY5WZ5jM65+UDoKuVPJjR2UFrJpNkxGd3c7Yo1Y4pFAQxRpnYgbmjJXluY1SC2QrnA1DURVDj7rdXu7qGDWNkIyW/8ArUstNXxpDowFLY6hSaGv7lLWNY4UHbyHADDdR44oe84/d3MHZWj9kqnvSDmR5DpWSLhYlycs7dWOSfep8bUghRGI8hm1Z7zM2NVKs5rzQSFYMKVdGtQF12xVUXSAetSMGtcM+PLxq94tSZkjTWORzgn2qpnTVokVvJh4fSmiqeZIn7Jx0zqG+apB7UFnJXoM8seVWz24LZLDA27wxtVhSLAAmGR/u5VQHDIA4RmYKDg4r0b4Qmh4nwsWzSRpJY4QFTnUnQ4I9j6VxCGNUILIcc8gb1ZwviB4Vcdvb4068NvjCnGf2NP4f13XEFaGMxTJkE94rVNpbWch19lrJOxbfFEpxNrjELRI66coAe8QetUsZI5O3t4gY9PfUjHWtceV/LneMno91bqwLaBy7wzzrjeK2clpKG/6bkkAftXcJPE8auGUqff1zWfxWMPH+BB2sbkEkc1OdqtkpLjkO2kZgrZwOQ071OIM6MEDAZ2xtv5eddCEWWMgD8QDcVncRDQGORAuAe9tyou6zbt2DKjhkkXGcqQTtzrR4LcrZxTTLJHJhf8ATO7MemBzNG2S2t/ARJCGxsck5HvWTLGtu8seXUM+VBwTttnNTPyfoXYRZtUSVYxlQSVzlcjPPpWoJCtyLaSMKrplH3w2McvPfpWfYw6uEySF/wAVwd+QwOvrULniDtwq3llw0sMhRCRyPj9M1J0NGKNHi/8AcRaZPzDGM+Yoe9F7JbG3tFhlUbdljTnntvzHltQH3hNd24XuqFA1EDct0x+tMLs2tzmNx2jLoLE7IDzPr5nxppiPDvhySWTVd5EudQhjIAG/InfFbs0AEcls1ukSxENjtSSo+m55dKq4UJZNJgmjbUcYb5l8x411jpDZ2hilVHEnzbc888+tbnGYza5E8Mt554nZ7mJgvelmwRv0XarjZ8S4ZI0sPGDNHnAKOzZ+tbHHexBtWlXQ0jbkDdlH8cqzuJ9nFb6Y+S/KM86eMAz8QnRS8h1M4ySTzqk8SnWTeQNIRgYHyDy8KruLW4nwwUxg4wW2GMU9ssNu2NTPq5lx1rGUXRWtzfESTsY05gA8/WtS1gtLYhZck52XxOOp6DyH1oBbiXRqyoDHZgP1FVS3TFgEGW07mrkid1sPcqrYgEcS9T6eHjXI/E95FdcRjdGDsseh989cj96h8QX88YjhjfSkgJJ5H08qyI4kVvx5lGdzo3P/AJqWtyLDI4J7NcefOqXnRO5oMsnuAP5NX9lEFAhLgPyJ5nFUyrok1Z3PMnc1Gl0UgjUMyN2h5pGAuB5k01VlSFGe97E0qBfeDZB0x7HJzU7m6VyhCgYzmpWkyW4wIEk/78ZoR4RK+VbTvjGN6YohZlJAO+23SrO3kjG49jyrNDGGXfDaG5HrRbzTyxNKEUIDvhcgUwWs6SnLIm39JzQ0rKr5QEDA2zTxpcSIWjQlFODpXaro7C4mkjDCNA47xLDu+oq4je4PdSm1haM7r3WCnfArWE80ys2qTljSvPNZvDeDXUAUtPbvGy5wDg4zzOelaqcH7ML+PGr6gw72PSqgcOlpLFLmQam/E1D+OlaClxOZ4QGhkw3jiptwHic7Ks4QxtsXDAjHME+9GLwa8jtzFIFBVQcrv9PGnFLGfeWCT6Z4m0vn+o4xWVeWcgDZDEaiDqHPbxroo1Ea6ZdbENuShFXC3guo8ntFQHquP3reSsdxw/CopYZGhlOx2CqcMFPX9vrW03D5GlCLbmVH5yM2QPrW4nDLWOYyNrORpXyHSinS1hIG4OOYNWSSJbXPvAIoNHZaF5DwrEctBHNbyQiS3Ld4gHI8D/mu7hljfuwrqbGQSBU7iETxdldBCCO8CgwalxZrza0UwwuWGlsnTtzbFAnS1w3bOQnUjcmvRn+FLC6l7Z2fzjQ4B9+Y/wCetTs/hbhtpxGG7hR8RAnsmfUpboSTv4+VY8WtcDwm/bhvGkuLiLT2cZWNXBGD/wA612HD+Jvd3aRXJVmmYaUHNj7+HOtfjHw/Y8VilaSJFnc6lmUYbIG2fEeVZEHw0LaWOZbslkGnBHy1qSwtlV/EEr/ecGpu17LKgK+eowce36UPfTwhhrJOkYwBmj5eHXbdobVFweWtguawrnh/EIXCSRy6z8zasjHljarWVLXlzPLoXEhXG5O1Tt3LHV2GWG+/IHrR1nwtzGx7No0U/kBy23OtG04VEoGIu0K7gk/zUnG0vKRjo8pCLBCz42IKYHp5Vfa8LnWTXIqqG3wTkjy863TDpXGsIDgYC0I8Emci5IyOnjVvFPJjfFFpax8MUj/UEi6TpzXHqrFgWUHHPSMk1qccu+KSzvHdRyRQaiIxIMAgHGfP/NALNoYMYgwJGQDv+1c668fSsyagS0TE+AOwqGxIKrpPvV7zIX1BXwfAdasjTvnUM7ZxUU0LSKu+lx4HalTvqBPZAFPDpn2pUAutskFTy5Eb0RawXcjLHFC2pjjcgb+9eotBZs73QtoVCjLPGgDOfDlWcWtHnEsVqvajmCoIHhWrJE8nHJ8P307K7QhBIASzbAeprfsvhhfsjA3EZcndCpxzxW/94xywLAwVixx8vLyooW0cIjSVhqVckDrSYl1zkMVnaxNbojtGDlyq7Z8cfSjzBZSWjNbQQGSMbZzq57HfbFaiwwhzLb6Fc7HoT/eqDHIJWD3XYg/L2Xn4k0tpMZVms9w/ZxwRA4BJC5AxyJHgP5q+5hvgStxFJliDrRMKduQBya1+H3xsXKXSPKOQkSLBHXfxrYhubS7gxBMpVxjc6TWG3n0f3hOwCK4wwCsW0rjnuDtzohJL6KcCWVnQ7EDJA8MNjx6V1HEeFwXJC6YUZebs3yjyHU0wt7G3KmHS8yDAxgbVrWcUcJ4fIpkbiEpkWVQDHzIPjnp7VfecNt1s/wAO4uQ67BnlJJ/vVdxxAwIVEQQn8xYDPhQrXiOiTPJGSPm1ZOPIYrnt1ejCwi7LLTkMvMgZqK20BYqbk46A/wA1F7ntI9c0bQxt+bOM+FZzzvMxSzDuWO5xjlW7yrORtLA6Sp2IjYcs9oFx/NFvaMGILk6tycEjPrXNIl4JmR1MRU4ZnO1VJe3CO3ZyoCp2w+5NTyv0ZHYxW8cICtnJ31ahz9Ks0RagNcgPUsvOuNim4jdSgCMuF6qM1v2nCb1gGlnNvnooyffetzkYIku4dTdlIMg43OQaqeeKWIEh1ZT3gNwaGuuFTPeaQJGHQtjnQF8Lnh87NOshiXYuN1+o2Fa8oz40SZpIwHEjMp/KNj9KjcXIWEN25jI55HTzFZsfFbSeQvNAyEHCsJCAB7b1oXtzYy2Kwv2ccasoALEHIHMnYnap8kPBKK7uSFHaqwYcyvT1qluIXCu0cs9vGwO4Ix/NS+z2jhGHEUETHMaLsQeg6/Sgrv7rYM0ksLlejJ3ifWnyQ8F7md2KLJrZj+Qaqd7eRm2eVcbZI6+nOspOLMkAhgjjiXoy9KJh4m80YZphqzugTY+9OPOaXizvjQBLW1RVYspOpiennXIdo23d+tehm5kljaK4iDRkE74zt/Nclf8ABrlryWaFYzEWyG1gH6VOXd1rj1MZal2BzpUVIyd3USwB6+NXnh12NkVXONwrik/DL9UUm2bfl3lx+9RpETaFGuQ78tNKr4+EX779lCuRnvSqM/Q01QeoycGuUYdjMY1xllkjBJ8tulMLSJmlMkqlX+ZEUD2zWivExMU7ORNycA/m+lV3Vwy5EYMj42TADZ333G9XYmMiGC3srjXI/fG8QfChPUjbNYV7xKee6d3YyZO2kEfStTiXHVS4ZFtFD/KyyAn6DOBWXBxRoO0aOOFNf9C7n351nYYJ4fdN26rc211Opx8oJ0DxrSeznmJbv6XGSxIHoOdZ0fxDI2mNmWLOwkCBiPrzrPuL27mzre7aTOezK7e2Nq1sRuRWk0N0jNdosY54cAn26UY3EIw6wQrbFXbZ2cqVPifCuVie4lYakfwwRgj61Oa6dDpYBgfm/Lv03ppjpbgI7HXd79MOcD0PM+9VN2sisYpomGckkY/XNc1Dcl3CCRY9R5k7VfEb/cRwArqOWJGM9PX2pKY6FbgQ2+CyM/IkeH9qD0rJO2DjP5dJOKyjdX0MRGqUsw2CgDHsRQD3sjJpuHcnJydfI+npVtMdDNewRTmI6XcADv8A+NqoHGrSHXH2LI4ztk71zqsckamCnmPKmCHXrdtZ9f71NMdJHx6NWMraWGNizcyR/SN6b7ytcFWtwukagIj/ABWBbwpNJhQ2rVsMUbJDKLxO8NzpJkHP2G9Npka33vCrqkMbOrruoO/pVt18QG1gBtIXSTOMsNW3ljnWU1rDA2l7aWVznV2Z0jPsM/WtEwwparotriaQ94rqOlTj61LKSi+H8cuLgZdwFVgrSvHqb9CNvPFZc1lbm5mdbpHadWkTK7qcgkaTyznbNS4dcTMwaEJGMlSoUt1/nFGrxO4hLoLaBSGADMg3rONaAb4dvIzlEmlBOAAO6D4/pTQcFlvXlaV7iORF1ZERYkee2SfKtiPi92R/rwwopJ7qY1US93fSYBltTq/KspB/QVns6c7LwbiNrGpMZlSTGNQ0gctsHBH+KeW0vJUVzBHEEJyiJz8Ccc/15b11cdxPBo+1XFqQclQ78/2qm4u7cyhftMaNpIPeJ/8AyRV7OnIw8Pun0gWcipuxOQFHv09KJi4TIkmH1oFBJYd4exHlXQ/eELaI1iR1Bz2mkgqPrnNPFxeCIMsauH66QF+poYw45IoLWRZpcOD3SRqx6AeVDSXHCZYT288hfn3VI367YxXQFru6k/BbWrAli8QP7AZof7vkbIn7BGJwSY8Ej2NWSpbI5C4+7kB0LOTn822R9KFc2ecIjgAdTmupveEyQRZUJIuPmVQTj0O/71lXFvoeIJARgdd8n0xy8qdkrJE0Y5D9aVHyaY2Oq3Go9BCP5FKmq6iMBZGYWt4MDP4nM/pVkl1Lpc9hMH076cnn5nc0R94XNyNTcOnjyead7+CaotbfiVtIJIZUELHYNGu36f2qS/UXFE0EkwcXHD4Q4XCyMzBh6Z5/rVQ4asJIa1wFQtrYkg+m+PataGS8/wCsttKVGBod4yN/HNTLWnbBWvZpASSA8m6599612MuOK6jz2Vs3d3Vmh2B9z6UYv2iVN7YAEDRJknfPL0o2G5htW1G7Z5D1kYYx/NGNPZXalNMMr4ydJBFWanTBhsuJNM4e7t41LZy5BJNWNwuUyYlXh0kQ/OshUgc+Xr6VdFwjhJk7Z5SCTggDSPTFaMUNisRja9fHLbFOzIyX4RDO4GiPQTp1CUbHnyzV1rwK1it2jhvijZ5Bgd9vDBoq4tODySatYLg8nJIB9NsVGSxsZ4eyNxC0eMENn+DtTbDIBf4UuJyRHxKLOwwqgHfc53zVD/DCRuF4hJFK64DS7rjy57/rWraRcPsJW7CaKFyMFldv0ya0Rc2yFXF2zEc2Z9ufgKaZHIz/AAwFlH2ZJ5InOzNso8hqp7v4fjsYFllidnbOY40aXSPMjYe1dbc8cs1BV2175GHXveGN6BvOIu1u7xu/YA8lIXHXc1LyXHLR2MjBilhIZNIOhH0AKfzZJ3HLapJwgGcSGIqdONMcobJ6Z/Xy/TOpLGZo45UuHKsM5Y40eWcjfI8+tUR8I4k8S9ldKC51BZHXu4PlknpUnKpZAv2d4YZFkkSOLHe7+vcYzVElzbBdTXUZCDcKCo8gCRz9KuuOBXkRIuIhJK+RiNS3XmMbfWmm4NJCeweNZHk6FgpOPU1dqYJjv7O3t4cuoLHZEU5B9f4zQd/xgSzFVlmiiU5OpASfYbdPCim4WBIkds9pHIAWGW1sjY8yap+6kEQafiMQeU50rHvjPlV7ACcQCsGa6Myse93SrYz1HhRUdzG0UkqzROF5dpkH15468uflWrbWdpDGqPcTSHKspGnfPIZHOiI7gwqI47OUBBsWjyR5+FTP2Irw+X7PG15pKIuokIQxP9PL9MUrfgUbDt7pY7UDk5U5YHyIG/oKc33EUYfiTxrjvAgAZ6+NRkv7pUGvtXLkjvciKl5YvTZj4HYdmpgzKpGN2AxTpZWtmz9hAszfMHm07+QwBWMvFZFUDDADbdj/ABVi8fjQKm4Yj8oBHuK53/RqcYsvrfiUzZaaJF54DaQo/aqGs27OSSTiTDBJ/Dj3O2eoqb8ajk/OrYGCrqcf4qiXjEb4SQQN1xj+RvU+Sl4wzcOs5CXN1ettujKEJPQ8hQU9pGWTtIJnTJwHLnl4450b9rjaPQtwE25CU4z7ihJZ5Q2RcNjkQw3x/wANPKpkDS2CscW7ounoyNqx70qrd715CY5ZfXAI/QUqnlyOnQrNK02lpXKkjILHB51m8QkdOIBUdlAYkAHHhSpV1qsqWeZgWaWQtr5ljmr7WWQ8RtkLsULplc7HelSqxK0/iY9jcgRdzb8u3WieGKDw3UQNRBBPU0qVdPyyGjACXLAYYMQCOYrFiZmvwSSSxOcnnzpUqxVgy1JNnJkk94fxSkRPtB7q816edKlWb6GpbxRhHIjTI3G3LegYGZ5JQ7Fh3tic9RSpVqASYDtoNuZ3+la4UQ8EdogEYk5K7E70qVYnsLhbM9xGGYsAcDJzjY1bxOWRLeTRIy4Bxg4pUq3PRRMTt9ihbUdRXnn1rIue/KmvvYY4zvjc0qVW+kCsSzOSSSXOc+lEJGhRcopy4ztSpVzUZZqsaSFAFwgxgYxyrkOI396LqQC8uMEHI7VqVKtT0ghWPYqcnJG58edQ4xLIkluEkdQeeGxnelSrKgoJ5u2A7V8Z5aj40WWYwgliTnqaVKoGAAlOB0NW9lGbmLManIOdvKlSrIB4l+E0Ii7gxyXaiuHSOwYM7EDoTSpVVTnd0iQqzKSzZIPPelSpUH//2Q==</t>
  </si>
  <si>
    <t>Curious</t>
  </si>
  <si>
    <t>Alawala Devin Penne Ela</t>
  </si>
  <si>
    <t>Heritage</t>
  </si>
  <si>
    <t>Gampaha</t>
  </si>
  <si>
    <t>Waterfall Viewing: Watch the stream spill over the rocks into the pool below. | Natural Bathing: Bathe in shallow pools when safe. | Nature Walk: Enjoy the surrounding forest.</t>
  </si>
  <si>
    <t>Alawala Devin Penne Ela is a heritage site in Gampaha District associated with local religious and irrigation history, reflecting the area's traditional network of small shrines and water channels (ela) that have long supported village agriculture. Sites of this kind are typically valued locally for both their spiritual and practical historical roles in rural community life. It remains primarily significant to the immediate surrounding area.</t>
  </si>
  <si>
    <t>Ancient Deegawapiya</t>
  </si>
  <si>
    <t>Ampara</t>
  </si>
  <si>
    <t>Peaceful</t>
  </si>
  <si>
    <t>Stupa Worship: Visit the sacred stupa believed to mark a spot where the Buddha rested. | History Learning: Learn about the site's ancient importance and ongoing restoration. | Ruins Exploration: Walk among the surrounding ancient foundations and remains.</t>
  </si>
  <si>
    <t>Deegawapi (Deegavapi Raja Maha Vihara) in Ampara District is one of the sixteen most sacred Buddhist pilgrimage sites (Solosmasthana) in Sri Lanka, believed to mark a spot the Buddha visited during his third visit to the island. Its large stupa, one of the biggest in the country, has been rebuilt over the centuries after periods of neglect and jungle encroachment. It remains an important pilgrimage destination, particularly for Buddhists from the Eastern Province.</t>
  </si>
  <si>
    <t>Ancient Veheragala of Pulukunawa</t>
  </si>
  <si>
    <t>Ruins Exploration: Walk around the ancient stupa and monastery remains. | Rock Climb: Climb the rock outcrop for views of the surrounding countryside. | Archaeology Spotting: Look for inscriptions and old stone structures.</t>
  </si>
  <si>
    <t>The Veheragala ruins at Pulukunawa are part of the dense cluster of ancient Buddhist monastic sites scattered across the Ampara District, an area historically known as Digamadulla or Pachinadesa (the Eastern Kingdom). These ruins typically comprise the remains of stupas, rock caves, and inscriptions dating back over two thousand years to the early Anuradhapura period. Many such sites in the region were rediscovered only in recent decades after being reclaimed by jungle for centuries.</t>
  </si>
  <si>
    <t>Angurukaramulla Temple</t>
  </si>
  <si>
    <t>1 h</t>
  </si>
  <si>
    <t>Dragon Entrance: Walk through the giant dragon's mouth entrance. | Giant Buddha: See the large seated Buddha statue. | Murals &amp; Library: Admire the colourful murals and old palm-leaf manuscripts.</t>
  </si>
  <si>
    <t>Angurukaramulla Temple in Negombo is known for its striking 30-metre-long reclining Buddha statue, one of the largest of its kind in the region, along with a colourful image house depicting scenes from Buddhist teachings. The temple's history is believed to date back several centuries, and its vividly painted entrance and statues make it a popular stop for visitors to Negombo. It remains an active place of worship for the local Buddhist community.</t>
  </si>
  <si>
    <t>Adventure</t>
  </si>
  <si>
    <t>Aradunu Falls</t>
  </si>
  <si>
    <t>Badulla</t>
  </si>
  <si>
    <t>This is one of the waterfalls in passara area. Situated around 6km away from the passara town. There is 3 kms from the main road to the waterfall. The final stretch is best covered by motorbike or a 4x4 vehicle.</t>
  </si>
  <si>
    <t>data:image/jpeg;base64,/9j/4AAQSkZJRgABAQAAAQABAAD/2wCEAA0JCgsKCA0LCgsODg0PEyAVExISEyccHhcgLikxMC4pLSwzOko+MzZGNywtQFdBRkxOUlNSMj5aYVpQYEpRUk8BDg4OExETJhUVJk81LTVPT09PT09PT09PT09PT09PT09PT09PT09PT09PT09PT09PT09PT09PT09PT09PT09PT//AABEIAKQA9gMBIgACEQEDEQH/xAAbAAACAwEBAQAAAAAAAAAAAAAEBQADBgIBB//EADsQAAIBAwMCBAMGBgEDBQEAAAECAwAEEQUSITFBEyJRYTJxgQYUkaHR8CNCUrHB4RUkYvEHcoKSsjP/xAAYAQADAQEAAAAAAAAAAAAAAAAAAQIDBP/EACARAQEAAgIDAQEBAQAAAAAAAAABAhEhMQMSQVEycSL/2gAMAwEAAhEDEQA/AM74M8c0UbSEgZIkPmC/5xTWCDwISzKC2Nx2jGff2qx5rTT43cSAAAAlOp+lK5/vl2hkhKYyGUYPQdhzXFjvLslN3K8iIJ45YWk8hUchgfX5V1HbPHAIpVV4gMIR6/1E+lAG6ubfWizIJFIO1JADgfX0pmlzuEckjkxyEDYgPB68eorWyycGGsLaSNiY5htXjL9MZx1+nTtXcWnyEzk5k8T4VccDnnBpri2SEMikHBbzcA/MUOk7PIZBIFhPXA+I+nPzqMrlOYr1LZLGW3hyrPHnkRL5uPmOvrRVmhlh/ix5UHbkf5qy7eKe8hVPIpzh1PTH76fOpEHF4NqBomOM45zk1U5nJyLUgV4QgeRFByB1FBzCRZSqQbgBkOFx05602SAWu5WkIi/mVj0P7NUkiN2eIu0iAgIRkHp+B/3SlsDy1iZ7csAjAjLDNJ5JHs7xt65BDbVxxkD+1aFr6CKBVmQI78HgZ6dKFuvCKsoiVgMkEgZFGOW7qizbP3N2rmKRpBuxyp5A/wB0XBewy2iO+0yg4OSB8qUzwyS3GEQk48oUdQO9VLE8VwsUqGIkgHcMHB71v6xMaUQJIQdo7YU/PrSu5u2WUKYhlWwwK5omV8PK8DMymNlG4cE+o9qpsfOLh5928RF42B5BXrR3zRrSiUAlbgBhE3KsAOPbHetskayKGUhgw7HNYWUXDO8LbmGSTgZB75rS6LctaSiGRXWCRd25wfix19ua38PkmF5Z+TD26NWhVVLMQFHc9K4nCQQvK5wqDJpDfahcTO0jyEQq2HQdDH2Ip/qP3a70dt0uyGQDzKentW080ylZXx3GxkVklvZHuEXc8jFVyOgyf1r26tJIVKgGRtwXA7Gm6G0sysFkRI7KAig5AHqTWg0P7OzXqfeZdgjIwrEc/If2rg5tdcmmKsrY3jlZAzDaThTxnOM4rVw6DePakpESNoGSMY+XvWst7PSdFhV7e2RnH85G5j34ppbXS3kcqMpAAHUdQRntTy8ey2+XSaclu4LRJkZ5I/zSvULcyxMIY2chwMEH0rR/awtbX4t7eMrCFyj568knA+uPpVOnQvcxr4SCJQSJGY9Djd/usLMscivJTa6dHaxIkkJkl7kjOM0xgti9yoKEnDbeuKuuY5LZfDBDSddw64qaVcB9aWJxjcjJ5vXHWs95W8qxxB3USQqFG4LkKc+p75qRIYZSsqjw4+HwMHPsflXmpMRcNFNzEOo/qbcMfln8au3pc2YMrKscC4I75Gf8Gq9VWQOCklw1ufIVGQV4yOx/OvaoEM0924AWOFUUKdvJI/ZqU9aLSjVDcQwPI1xKwwoC4wpI7fIUuguJHjVFl2KQVbdjHHoOxojUpWuomcSkeFkADOSf3mlwdo1JjYlyNzY5CVthP+WY+cbZpvGwQo3IuePmMUNbGSW4W3kJEu4ZZpCdpH9+ldWbxPcCYE5XHEhz1okWx+8RyhVTG1l9G/XGetVvU0cMyFjVp1Ls7Z27vw6fSoBEkJ37Q8vm2ltozwBxXcyl3TIbCJ0NDIrSFysgUuMDgHj59qzvLXXC4xETMJNx3HerAjAPc0fZxh0ZXBkUNkbBx78UtjTwmCui5xg7cnA/D1quJGWcOWI58pEhVh/8u/1pCdHs0XhSGSOUyxj4kfnt0ANKJdSijnRNocyAbSRjAyP7c0RE83wyu0q9QHPP4/4NU3Wnm5IeNSiwuWQfPqPxFEk+lYaTS2d5gzW4zkbuAA3v/uulSFox/EDEcA9uaXwrcMkaOjDnk460XGYoFlnaQDYOMdqjq8G9S1W0mSSFF3J0w3JHcfKuNShOo2yRvaqWHILDkH2q6KV3iSQoFJXdjpx7VzO5b+GzeUEH605f0XWg6TNMUtQg8PaBsHTHXGKAltPChlDIdqeZC78j5Y/tXVzIYHe7csGC4ULwPTFT7OWzalqSC4b+GTkDuTWmMu2d5bT7D6RbQ6XFcXcIadRxv52j1rTXulafqVq0NxbRMrLjIUZHyNDiaOz3QxqCsa5ajLa5R7UTNhVxnnjFbkBk0Kx+7tbG2tjb8ZUoM59Se+e9Zr7W/Z59Qay0/RrCGGMeZzEgRR88VpvvviyTMARbLyXYYz7Cppc8t7cTM3lijfaq5PalASaN9g7TTUEk8xkmPDbRgfIVobl0srcQxqFiRcBfajmdQ6+5pHfs14C6khew7cfOmQdp5WbJkyxIbgc4x047VdaTSxxgo0khY5OcdM0HMm8rJCuQqjkN8B9jR+kwyzSkuMIg2tnnfQF1xZSXcLJ4SkE5G7DDp70gh+zd3p1lMonDs7hnUDy9/N88cfICtqNkS4wAKpnmiEWXfKkHgd6WoGIukjS18GSMGBcDxH7ntWVYTW+pRzSLuj35Dbew4xWp110lhuJWGQjqox0H071m7BnF8viFyDkBQfXp1qLh9VMl84Wa6yCQGy22dcEjHpjijY7aOG2EexB5tzbe571bq9jhEkxsjC7iccnPGM9ele29hNKVO7CEZG8dK57w0gWQNnO1QpPHc15TlNIUgbnOP+1alTs9Pnd1btDlDIowDyoOSMc5oWCCKQnfKyceYKeSa0UieHBIFwpdmKgjHrxS+eFUtmfw1LSkAs3HPzGP0rbHyfGFLZrUwyqkQZlkBCDdnOP30pxpNs//AE7SqW2DKAn4f3jpSaaN1uogq85G0qTz6fWtggisAJRl02BNnXc3dv8AH0q8rwvCKZwjSOW3HPBPIz+g5oVWUs7b22JkEAZAA7ZopoZLhT/UWzlcrt9s5oRCba3l3IXLqVOGwfz4zWcXQsWsWniBmLrx/T+houC+gkRt88DPuJVQvQHHFZ6ezAdjaM0kanHIww+lDpK8TZUlSD6Vp6S9J9rGqhnMEh+8IVL/ANHKfqKZ2MiNHcnacCQMBu7FQMfiD+NZSDWJkJAh8TEewkk8e/5U60a4VLq7tbfzlYk2jGSccHv71Nx0e5VlteLJHO06LGg3Ju55HzBpbOHe3MMbsAU34Jxk+9MLO0YtL4o3JF8IUkbic8kUR9xjO4zMyq6Y+EE5PvUm8CtJBaOGZXWLoRxyKt2FvM67iBkKueTXaOSkYHQLtYEd6D1Bm2qrOUxjLA4wM0tbKgJSk8rGVN4JPlPT51uPsVpttbWz6iUKqvli8Q9D6isbaKL2/hhBGM+dwOMdya2uo6xa/co7HTiVgiHBK/ERW2PETrb2zlaS5vjcOMhiQxJw3y9qc2qNFFidzshJIiTH5/pSHRuUOo3uPDgBEKZyd3r9KYQ6pE8Du2OTvznk1c5TV2oMv/HO0kjYZsrj5/s000xQmmQf1MAx9SayU1zIbK1LFmJkYnjpzxWtt93h2+1AQBk4NMnkszNfshAKKueGwaXagG8BYlXAByxA6e39qYRpi4l7hmY+pry4i4j67j1Tv9aAVIqCaK3yWYqDJ2A9hWijVba3OBjvigrDTXik3zsrDJIBAJq+/dvhGR60BS12UbznynsBmlV1ciUF4wVKgcZ65P8Aqvb5yxCByGBwfSlTu0aTqCDtKn+9ABajKZVm3qoDHJUeucDFAWYk/wCVhRcNxwzjgcdaLuSd7NInQDb9ev8AmvZiIYkVDhMAn17H+4pB5c3j31yYo4ysdsMuc4HXt6jivY9UFxI7RFpPCBYuTgH5UsmQtZTtLkxvKilh8W0HJHy5H4iiNDO+7IdMb2KpwMHGTz8qjLGdqlp+WaNR5Fcnkkvt5qULfz2iSgXVyIu4XaAf0xUrP1jT2ZczOqOGUEkE8gnB6/7qrept3a8jYuBuPHlAPfpRT3BO11BALEEDHHvVFzfCSBi8oYAHODj8qxn+MdKVs1nVWjZSFYlwRyOfbpWgVFMYlXbkkgIU6diR6d/1rN2N2i6e+xT4hYs/XtTqN1EKyxgIr4z++1XdzheDi5keEJHGjfHltvf613vhurp7VbbagAZpCfg9MHuc13NMXVju2RGTbk4yxHB9fSqWeWFFKuEeaYbVVOCoH96U20C3lr90Lyo8QBAO9ycL1zn36Usl0241FGum2Ix6EjaCvYkU7ublBcCyMUchYBnXk55PtjpQmr6l92jVLfb4pz5CMhRWmNs6TdUFdKqwG2QokjqA/TnHYGitBtI7SYvJJxsO7HUnIwuM+xP0rNSzyTTb3JLnvW10vTZ2tY1unWIkblDrlsED0Pt+faqylkKCLZ2BlMTgBuPlzXE0gAfeSWHHWiprNEBEVzE7EZwyHAP/ANqUKuom72s9tIv/AGHFTOjEWW7l35HTAHuKF19CGQICVPI83Ue9MY7fwrdpMsWZT5P+795oaeza/uIZmxDBD1yDmQ+lAC6c9zDEdkUSIcckFmf5UXA90ZAEt8R4wwKn94rS6c9uIGiEiCZRjaSAAK9kWIksNq+H6ZJ46k1XYLdauz9wW2iJRBhf1qy2Ym2cspCyEBPr7/Kg9UkjluFVJGBY4KkdD6UdBG4zlMqq5A3ZB/Stozqy8IZYUxh2cEkfPmtRaXOyURqrsioApPc1jIpN2oxEMzKG59ScZArX6Yqyys+ecg49u1BGayeGoUL5tuWOK6hcNuYKee+a5Msahc/L0qkXCNkxcJnigD+ETJOfnSrUZQoYnpt6mjmkd0VUGcjkntSfU57coV4YjON3Q0AmLvLz/Jnqe9c3AAglVeCSAPpREUviwMzQoMNzziur2xlEAAGQTkN0FBk+1/EQSjh8nr0/eKk0Ty/wyFG4hjjtimMtrsMaBgWAycHIFeABAX2jK80qTP646WekW4dXx4p7Zycc4/Kk9re3WoXUdtZ/9PGp3GR+cdBnHbjtTrW/CvJre1mAaPklQ2PfrQsAgt1VI1RY0Yl+c9B+dRllqcLxnIwaZp2n5k1CQXsz8eLPhhj0A7fjUpd4Fzr92YLHPhxLu3McLngYqUTG2b2ftor1G7BkMamQp02KRj6nrmgmCtIwgHAXnnGP9VzdPuYLzkD1PPFXaXGsjtHIquvDZxyaJJIldZ28kMS+LEzKw3bd3f5fKnliPH0+Jn6FjtyeSASB/al000kcZk27fLnduGD8vamGgvG9hCkSnYoPUfEc8/nWeV3Nrxmqv1lrd9sBTdgbVAwuP2TStluYGjeSdikaj4j+zQ2sX6SXzB/KVJ8pXoc1QkqylfGdtnQMMtj/AFUzHKKujS81GFLNntJ42ndsEjsO34VnlVJmZridt+cdM5NNP+GlYeLbqlwjd4zkf6rlNNZpU8aIxorc5wDz9a0lkjPVWaVp6iZLlkD45iDHC/8AuP6d/wC75HgC+EJPFkPmYLkZJ4A6YqhkhJVAgIix0GQB+HyolHQx+QDDYw3QAfv09azuW60mOormtmihPjJJGxOQNmT/AOKCtDvuHCKQVAywOAPp9KJnvPEi+7vGJYsY3EeZcehpfa3EEXi/dyWbncxOaObCFRXVugeS6VySTklugxjFJ9U1prqYKMpFGf4YjbGBXd5cokDAnJIAPpSiOJZv59hz36AVphj+otNrPUHSVXgZnlZsHjB/DP5+1aCw1a7QAzbdrDqq5b1OfekVlp0bRcHJOSXKkAcdjTi3tba2tEdkLSl8Mc/F1zmnNfD5C7nOq7nYYDElhnmtbAAbYeI4QFOn+/SsvDCJZiVUK7NkeYY+VaCK1QRqxkc+g6AVcqaHtYNtx4xPmMh288ZrT6a+JmAILDy5z8X+qQrF4N6iDBVScAdCfQU10pf+s3Ow2oe/cCqJfPcvLduhyNpA5o+FV8BMNxupZtY3csv9Z4HpTSMExJwAKCEzyiKzZhzxispfz/xQfhZfhrQ6if8Ap9oGPrWV1AFR4h5bsM0BS87LJEMnaT5ieh56/l/etPIxfSkkLJgc8cjnpWNQPNIpGRngHH5Vo7V2a1NqQfOgO7oFxShhLi6Bl34PlIGFI+uRVsqh49ykDYeST1/f6UqfxfvbqMsOBkc9KbR2xYkyMMhMbTwevWgM7PExuC65aJASuB3x/uhHsZLiQ29uGIdQOeAGJH61oplCLkxjCdh+FBzRBoTcRvgqDtxx05/xS1oHOhWKadpCQRmFvOd7kcu3rjsKlIv+X2oAJTyc4C5qVN8kX6MXqLu0hXYAFPQHFWabgW7ys7ZLAMEPOO3FD3sxcqXfcwHVRgGmemxQy6ePIj7e5GOaWV1iWPYXU59sJj5JYAA9gKa/ZrK6chx3LfPn/VJNWAIUhQADgEd8d8elaXRADpUI2/yD+2f81OXGCp/SrWdL+/wmZAqyxjcBkDcKU6b9m9Uu5Stvaysy8nap4+taj7O202o3E/iJL4StnIXrz0FfQtMt3stN3PGPGbLFM4C+i/hiq8cuuU5V83h+x+r2WyW4k+7eIwAxICxPpxRmr2/gWsNptD3Qfc0xOCVHX/FP59TF5czTuD4cLeCibh8WBuOfrjI9Ky2q3X37UliTCxxAFcnHuaM9SDHdoO8Km4ZSwbxMYB5oiCJR4amRQcFi7H4fTIHbtQeoosUgkYnAHRSa7MhgsijsfElXJAB8vPArn+baub+JpoJ41OSFwXU5FZA7onIzgg9jTqZ3a1ltoGbLct5+AB7CkpdTHgjzDoRXR45wyy7dz3Uk6KshB2859apBPY4rypWqDTSridp44fvG1Nw+I8AZrWyJbvDLOr7lThX3d/fFYuwjLzLg45raPHBHo6FpBEuORuzn8KzsaSgrIqlyA3cYCjjHyp3cT5wQRj0zzWbtrjE6sFyUwR7AU5vmk4baFLAHHt+lVOk0ZpUck9xvfJXhiwbpWkijIl4JKbuOOtZjRJf4+FYgjqe1amJsGNh0A+eeKolUICs3X4u9HK58qg5FKlcq7gZOKPsyznzdqCe6k/QYyAv51mr+VmkBOwL6/wDinWsTYkCAkZH4VmLuXe+1hle5J6cf7oNdBOAz7JTgDg+tP7CLxI94AUsORjpWYsZbZbgbX3qDgccCtrbCPwg8ZzgYJ/zQAMdsEZsAD2IwKugjVOAw3Fcc1dNuKOc+U9aqiQBssTxjtQRXe20keSMEk/hQzRFLByqK7bWAB/myCDT2aMsXHG1ug/zS1gFhly2GGQp9DSpxirvwreOFVJLsu7GegqU61jT47q0haT4s9VGMcdKlKYQ/asDcby+9lIDDg46/rWn0uCOG1SK5yiqMvx0J54NJtHgEl42/Bb0JIAPrTSa+tpI3ig8bwt21pdudzfPsKzz54isf1TqP/FyxhZZ5YyrY4O78qbWTLNCFtw3Q4BGPakVxFBbxhoDmRvKC55Ge9PPs+fvxkS3VwikICBlj6mlcdw98tv8AYuAC3kbb5YzhSM85HJqv7Rar91uJZp93gW+EUA/E5zwfy/KnFnDFpOjIiyvIgHxk8msdq2oF7+O0cMUjJkfaMliR3x1+fvW06Z/Q9/O8UReNGjilJO1uwH+6TW7ma58RJsuueQuQP070drLCQPFuQMEDGNR2PAPqMUtiLQxOFbqSoMQzgDFZZql0lxErXrSXDNhNpzv6t2GB0FVareGJV8N0XjGzucg1XJdGL4bguuNqptJZj3/v+dKriQXkjko6zbvKAOf/AJfID86WOH6LmZ21xFDbkrJhTwQq43Njv++9Z6ZQJHGMc8Cnkxjt1Z4fjhADnJ4BHf3zSOWRpXLuSWPUmtMZyVcVKlQVaT/T7NG0X7wp85fbnPSr5Xf7tsdS2TycZHHaqNKwdNlAzkNke1NpICIUKvgDj3qMstLkC2RaaINL5nU4Axzj3plKHMCl3yw4GDyBQVuSrHh93r0yaZzk+HHJIp3Y5XsRRjeBe1ujlY5vMCCRWmsSu7ZITnbuUDHQ1ntEKqxJGRj8M1oLFWikJQAgjiqiarXi6IyWGaaRgLEu3gtzSwf/ANm9S1NFHCj+kUyJdZLNNnHHSs3eIWfg4OeuK02qKTKeePekF7Htwd2O+TQFenWweUpxnv8APNbWzVkhWNscLkbfwrCWkjCckNzj0rZ6Pc+JBtfHOD+VKCi5HPgsuOM8ih42XdsYdRkCiXHxEZPH0pRdymKRSOvUe1MGEswj2BWCtgjp2pDLdWkN5ILlyiP3xx86JubolM4GMcVm9XPjgjGS1IG099YSoCs8WzccFnAz9DUrCSNiRlywGc4BHBqUGa6RYiFvvKeU+uP3ijpFRjt2qyLyQcDmidMtreO0aS/ljW3A2xJk7nI4J47UPqMNj938SN18uclZDuz/AIrm5t202zmtSxeSGIck5ODW8/8AS/TFbTTeSPtzIQvqTXy8bpZcAFmY8dya+6fY62Nh9l7dWzkKxwRjHNdGtRnsy1J4IVTx3RIh/KxwDWF1Ga3ttRdoywllIDSr6DPQj0AAq/7UXqklDlyx59BWYkM3jxlGO8oVxnnr3/GmIq1q9kCt4/iOHwyu3Ujnb/fH0pM9+ssASRSAq9M8Z7HFNL9Lq6sQnhpKsJC+VSGbA6k+3HX1oDR7SF233Cbz1RSODU3U5ocWU8kt2BDHwOB1OP3zVhs9wMsjSJITnfJxg/I9q0QKuI0dF2jgKBwDj2qmOCP75LFdCOVUUFiTxx3/ADqff8P1JroeDpjpOzFpWymMeY+ue9JDx86eavqcVy8sdmgFvjaSw6+49KRnnmtMSteV7mvK9pk0mg3EEVmUZR4rtjd+/amF0vgz4R2UNgnmkX2fTffIDWg1YtlnVkhxgbn5JrPNpjVluiBh0zuBPGMUw1EJIFK8L0pRpjEncJzKAaYXSu1mADyDk08ZwVovR/4TFduc8Y981qbWP7vBIyDDIvesjozbJtp6E5IHFbGGRHikL55BAUc4NWkvU+JMGxj/ALfSmq4/KqbW1LPnH/ijZIccUEz+oMzTMUHbvzSC7t3bqDtHJOOtaqe0dpXK4pNcRMsoxzz0oBRZwqWxhxxxu/StRpeyNAWByKX2Fj4jMWXGTzntWgt7CQjyoOnyoD2SdSjYwuenpisxc77iUqTnIxx0rWTWTmDlOfxpY+meFFI7RkEdMUAjWJzGyb859PagrizilRw7ghVzjPU5p791kjt3cfAT1FJp7aTa2Pi/qNAB2kOm2zH7zCXBH8oqVIdJuJ2ZvvMY+YxUqL7K4A5maVisLrHEx2OueSPkciqr6xupLbw4FG1yNx28k0ZbwmOz+8SzF3YeWFBgA+/FWQTeIXWcuDGmVVcAMfT2rOaitWqfs19k5rnWoUuUkESefenYg+tfXp4s2whQYwBwOMVhPs/qtxayIVRVDHDhuuPxr6CoWRA4/mFay7RZpi9W0t7mQFgoxyRjINZ99LMLvM8e8IQABkZOetfTJbeJAXfYqgck1hvtNqtrGx+6RS3AU844Geeg707dCFWoQM1u0uGQdSEJAA+XrS5Veco0TCMhOQeh71Yusz3l2LY29xGzKPLtwSMVaNJummZ3CIjDnxcjP1rDLtUcwLLb5nnBcbcABcAZPX3zwK5jBBwybp5Mlwedozx/emC2kuxI98eMZID5yfSvItM8OcvIjZ3eU8HiotXpi9WtxaXs0SEhTgjil9brUNEt724aa9nmjXbhXx8R9KzOp6S9pJ/BLSxscKcc/WujHOM7KV10qM3winOkWEeQ91CzHPAccY+VHHQY5LrFuzKrEcYzto9+dD14B6ArxXakpznr86a6xpsyyedeAARzTPTtCFs3jEtheQW4qy9u43fhsketLLKTs5CjTLW4jXzqQG6cc07li3RAMD8OKphni8QeIsi89cZppG1tdR4Eyj3PH96eOcs7KwDpsJ8feATzgc1stMjMkJGOSc80rsLKEEYckeo5rUWduIYxVpWQwiNQO9dOUXkgZr0nAoK9v4LbIdgW9KAlwQxP8IfhQv3a3ILvGA3fBpXda1K5KxOqg9AKN0geOWaWTfLnp1wKANtLdQA0cQVM9DR3hktkkAegrhSysAdp9gKsVyf5TQHYUUJOLYPmYjntRD79h2fF70h1BLoSl2XPPAB4oA66toJ7cLAg5PQUj1axiijUQp4ffHcn502Wa4TYRCQD19qX/aWQxacFhB3yDAb+kdxSoZm6u7K2lxKxZu+wZqUgu4m8Q7ic57VKzuVVpeLq2Gm5kkkWQNnAHG35jnP41QupWikLEnJ6lhgf7qw/ZvULw/wJ7SJef4by5I+uOaa6T/6dTSMW1LVYY19IvMT9SeKWOPB3Jzptw006pDHvdmG0Dr8sV9L06OS209EuDhhknnOPalejaHpmiKNtysrg5DuQDn14onVdUghsZzDOjSbTtGa06T2yf261j7w6W1pLKIlcCSReAPYeprMqrbkMEkwctgMXzx3OPX61zeXDmbZ4ZYAZJC8k5PGfTpVSTbJN0gKtngelYZ7tXNHcM0kC8OcDuTyfrVf/ADk886W63EcyZ+BgCR7560g1W+lmkjtLJ/M/xgdvTmmujaD90XdJNmeTqFAIx6Z607NTdPY5X3SP1GeB0o1HUuilwAo/GqRaiNiN1e7Ao48rHueajcMSzLJYsWPTJUGlP3e3Cgsqh87shR5TRhk/6XwnHmzk7R2HaqGZVQmQ4A6ZrHLLV4XpZDCHkCIiOTxk+WrXMcP8NkYPxQcV9G0gVM4Xk4WrCkm4MHVieiselbYWfUV1dXLNFthBJz/Nx2P+cUjgkmDMsoCyAYHfim33pMtC6KsijzKW27j6Z5FeDT4L19niGKdlOFddpbjpnpir9ccojdhazztIu3ARsAkHt6VPHdCBHkIh4UnNe3qXdliG4gliIwCcZB+R71xF4aIA2Sx7HpmsrLKuXZ1ayTGWBraQsXIDKAeM8f3rU2kd2rWohkdCHIkyfi/GshoatDejDOPEBAPXb8q+g6RAChlk5Bb+GDnjAx0rqw5jPJfql41vGETAJHLGsddTSF5JpHz6KTg0b9o79luJs7jh9gA6e1IZGknIllBAZR3wfpVUotVlafcMAdPrWj0GcMZCN4IxgjoT3pDZRu8gCActnkdP1rW6NY+FAXK+c9/WiA5TGM4Ga9zg5NDukoBPA49cV1Fkx+Y5brTJ5PcLHE0jnaqjJrF6vrkiZl8RSzHaka8bBxyfU1b9qNVeOdo08sKnBPXJ71kJdWSTywL4jf052/Xms8slSDZ9SuZM5mfnoAe/vXcmo3WwILiQoFHlZjilrzFIvElTYcZOOc/hVU93uVEhUkycKem31rDdUYNNHNHvnV924jyzAD/81KAjeI5LzhAOBwWJ/CvaPelozVQWyfixkn1q+3XJ+JvxqVKZGVogZgCTRV3Cqw55PzqVKr4RNMiq+AKCkhjkZiyLwalSpMEbG2hlLxxgM3WifCAUMrMpyTlTivalGRgotSulkYF93JHIplHcyTrl8Z9qlSsPIrFchLHk9P0pfdyvhhn+QmpUpeFdD2rb7SR8YbC8j/3AUUs8gKoG4615Uqr/AEc6V6qfBvJAoySFbJ6jOK4sb+UTGJkjdNx4YHj5GpUqpUVt/syReNPZ3arPDjpIM1nftNpFrpmp+Fa+II2G4KzZC+w74qVK6pGQ77PWkT3KRMW27QOvPNb+ONY5WCjpgD2qVKuCsx9pIUgmyuSXySW55rP4zNtbnGDzUqUUHukoplj7ZJ6fStfEoSPavQVKlMnpGevbPFZPXdWu4rl7aFxHGq/y8GpUpU4xN7NJdXEizMWWPzAep96EmxGmxVUAHPTrUqVz5HRMbF4l3fzA1wyKo2KABnOcc1KlT8IOUURbgMHdjipUqVI2/9k=</t>
  </si>
  <si>
    <t>Arankele archaeological site</t>
  </si>
  <si>
    <t>Kurunagela</t>
  </si>
  <si>
    <t>Forest Meditation Path: Walk the ancient stone meditation walkway through dense forest. | Ruins Exploration: See the stone platforms, baths and cave used by forest monks. | Quiet Meditation: Sit for meditation in the peaceful jungle setting.</t>
  </si>
  <si>
    <t>This place can be reached by turning from the Ibbagamuwa junction on the Ambepussa Trincomalee road and traveling for a distance of 7 km. Maliadeva Raha is believed to have lived there. AD The building complex is believed to have been used from the 2nd century to the Kandy period.</t>
  </si>
  <si>
    <t>data:image/jpeg;base64,/9j/4AAQSkZJRgABAQAAAQABAAD/2wCEAA0JCgsKCA0LCgsODg0PEyAVExISEyccHhcgLikxMC4pLSwzOko+MzZGNywtQFdBRkxOUlNSMj5aYVpQYEpRUk8BDg4OExETJhUVJk81LTVPT09PT09PT09PT09PT09PT09PT09PT09PT09PT09PT09PT09PT09PT09PT09PT09PT//AABEIALgA9gMBIgACEQEDEQH/xAAbAAACAwEBAQAAAAAAAAAAAAADBAACBQYBB//EAEAQAAIBAwIDBQYGAQEHAwUAAAECAwAEERIhBTFBEyJRYXEGFDKBkaEjQrHB4fDRUhUWJDNigvFykqIHJTRDU//EABgBAAMBAQAAAAAAAAAAAAAAAAABAgME/8QAHhEBAQEBAQEBAQEBAQAAAAAAAAERAiESMVEDQRP/2gAMAwEAAhEDEQA/AG7WxAEEk+g3KlmEjKC2rGM9duXnVYfZ2GW8M912faY3aMkk/XlWtY2OE96vMs//AOtVzt/NWvmDWMkmVjXV3ip39M1PHN/amT+knngsIEt+HwIUJKmdtlLY5sBzPXHn0oiNIttae9DWWfU0hGM435Ulw2TiLRtFKsaWUhVLcjGqRzux58tsVfi9+TLGkcbyIgwq6c4OP1q74Zq74k0epdejLahq3wOmTWdPxJYcrCZFJbJx8LN1NAlFw76Z5ECMmFLR50nbPr/PnSYhEjZlHaEEY8t+dIsabw2V9C8l3LECE0uzOQw8wfL60tb372kzIJj7ug0B0PxYxjcj+70GDhgMxPEJO0i15C8iR/cVd7VXtlidnDRvk4GAMtgijmqpy49orkTCSzlkIC762JB896uPbu5hISWKCRxjcZXFYcojt74wwBDpJUknz86VuLC3nIHamOU5LKF5jnyotGOgl9tbq9V4IkFuz7dsHOE8wMDH3p+z4ivCrZJrjiM07v3zqlMhbw5n9PDauOsbZ1PY4y5GWHPArftdMEHZLpWJD39Qzy8/nSlDpU4vxARNMvuTqTsxBQkZ9TWfdcWnZXRobfDN3jHKRWdxGTFuzrcK8YI1RthfTFLmPs7RZe4rkamA8fSnQ1bC+wZAsmYiNRUHOCOe33p65QQGG4jVWQtkaXP0x02rlrS5EVwskqDvnbJ5V0sd7aysqyOI4yMFc5C+GB40bqa2JhHLw7WF7mMheWnGP8Vmm3jKrIESQk7axlQPTx86fW7gisgXkLIN9SLnIHPFDsruxvCy2kmXAzpKEED50wz/AHEI+qIiMMckCQkPnn8/81pzxk9l2bnIxhc931I6169vIcMiAkEEddx+m1ehJmRVkQZA72BknH9FAgczzssgdUcBQ2VXveFLLaqEkQiK4PwlZV1KdsbHpTgVyWMRKRYICDbJ9atZwFAbi4JGQPiOw5/rQZWLgvDrtMS2o7RB8StuD6j/ABStx7OPbkG24k4UgLplBYDHmDzx1rUwlvOSpCKeWN+tAvLtteiMY2OQozn/AB6UrIHLSxS2sj5u7eWXOyrnnnpn71T3yaCLNzEUxnUxG2KaW2/2pxORXGiNd+0J7wJ6YpiXh8ttw43EKxyyQtkwhtpPqdjWd/y5qbzGeOKRlEYBGTSORwB6edNMyXDRe8BgdJwEbffkD/NZ0VlZ8UJurC2ELgAvErbg5ORjxGOVKRyzRwkwy6lWQs4dMMD5HqBWf/lZ7E3/AD/gPELdLKXQsqyS6MsdWNOen8+dISka2hifDLtjbHKtq54bPxC2ee2ti1xzGlhuANwemTnOa5l+1ivsXEciS9Q6FW9d/StOZsTOR2Lg+m29SvELEsSpG/XepS2j19Ukcw20IJyTs7Y1EDPQA+n92rJ9oLR4LGVhJraQ4RFwNjzPTfGftTMczm5MB1pGijn02zv4nnWfxi5E9r2Fs3vA3bXkYVeRz41u1XEtqOAWszTQsIY9OfyJjbAPM8h4/wCV4d7uG6aJZIdI2PJR6eFJ8Jsmu+DyWV3P2fZkDtNGem3Pw3pqL3yEe59g08MfcEuw7THMnwqb+l/0pf38U/EUtpFm7NwzRyRMRpwNs8ttsdfnVTZTwYknuWuZLjfsYjvjfB6Z2o0qzPFLI8BgOntFjz8Sqcb/ADPpTkP4XD4bshSwBAAGWHz59aaolgJL1llhhaRkA7NXOF1ZOx+XrQpGi13EKqhCguSGONQ6eYyKd4Vdz3FwxSJrVgFVHlHdfAIx4+NZr262N2ROJdcoYtJsQxXY46Y2PypQ2bxWUxXbE6GlcAnSucHHLNJRzI0jajISkZAyOu37VqzLw6ArcNI8pfJCK2APHP1+1A/2kIJpTZwRohGlQVyBuN/tUWz/AKPRODxTRTntkJ7qkEJzHOrzLdpLO0dtMItGHdhnbzz9KCvHOIxNlJmydsgDagycY4nqGq7chjkqQN9tulL65PKZN+VTsoQmdtSuAR8jRX0xOhiZlk075Gw9KzEuUkm1XK6Se7rQfqKKzjsTJHeLIuoDTId1+tPd/CvgsaOyINi3PXjH0rYsWdG1F99JGTIFzn99qyonla01xJqZV2QHmcYIo0syxhcXEeojdcg48jR+BqwcTuLeULw5+bgvG8exGOflW5wm+ur23ke4njd1bBjWLQYx4Hcg+u1cV7zHIdM5JXYd06cAcq9j4rJZ3ZktWMhYENtmq0sdyvFbdZJIzMsTRjJXUDgePl9aLFe2kqmQyrNGw7rqc/fNcentATEqXNloGMdsVDN15fSiRNwcSluHXqJKQGKu2kMceB9Keh11u6flk1xLy3JPzqqyW8ZLxzQbqADswTHIAD/NcU3FRbyMWkjkOMDEuwNGt+NI640KSd8KCSMeIo0Nm9Ju7jtvfFlKr3TjQB6US3juGCkRKzqML+Njxz+/TnSJuraeNFgJgbOdLxED601FHcyvKdGmQqChTOkHP80A0o9yfSbTZxuc6tTc92zzo8nYXViyNG4V8grqOM48zS3vai2/FYq52znl0okd7aG2WASKWdcjJ60aTFht57QOY2yS5bvqG1nJ73lkUtBYTrc9m82uPfIO5yem/TFbcqGJGcMyIOXz5il5RhVbQSxHMc6nS1nW8xsLiFJWdYpX0K//APM8tzt/jpiicTtba9PaCLVoOFYAKY+hwd+de3QllSTWC4IOV5/OmLaPtbTs1kKDQNJYZx60SYHMy+zEzSlrW+jZWGdxgj6c6lH45I9pPiKZdWcbHG3/AJqU8g+W895DI7WF0HYyYV3CnGMeI8fWkJLa0t2cWSTe7xgKgQbH1Y7VeFrrQ9vPCGKSH8V/iAwDjzxqxR7WGKe4RHWQIiszMrYzgeFVp4X9mD7yrW0kuhCQzRp3s+W42Hn/AOa2HijtkZdZ0jLaFAPM+W5rnYeIe43c5t1j0Fyg1EDHPBJPL+K2PfI3tlaQMJZBqVE3JHn86VIG8kuuITwRWoFvGVkEkkiDPw7AD5A0L2dtSbeW3nkaWWPOklQoXPgM+PXamnW4le0kiiWMK2GbO+M7/XJpnhdrGl3JIykkrz67bUKha5ed7RlW4VZ3h0ppiJVSW8aw/aNCOFwxTSr7y5AKK2dZ21lfBR02A5da6KfiFvYwRXEyklWwoA3Ox2rj57uTiNw91Oys+dIVfhQZzio7vzFSaWCBUARdhtscVOzONid/nRezDo0bD4vDnREhKKAi7KMbmua1rARE/wAWAR5GqtGVdSVblzAzRmVtSlZCmDk7cx4VdV1MeZzS08BiSOUNGUOpTyI/Ss68s2WYMqGRTnUBtjHXzrXZpveVjVB2eN3zyqzhSwwD3RyxRz181NmwtZycPS3UyxLI/IY1KGPXJGfoR86bZeFzQBoY9DE6RGGBZj1bflWXNbsssssS4B3ZRyPnRrRpCwLISDtqX966ZdZ/hgWsCXXdUK8ZCspOQD/QKauQbeB7i30e8RjIAXIPlvvQghe4llVQC5BYjy2H6femA0iNGwTEnIMTnNEFbKzPDDbvPEJkb8ucc+QP32r2bi3CpHgilsreVHfSC1uAQcZ3B5cvOsxZWchAoDDdvA/zneqOZXm70mQ4OUzsPH9qrUNj3uzCNLJZ8PS3VSWxHhsdTypa5e1aFZbdmUIVDR6dxkgbZ5jqfQ1TsBJvLCzRPlXCkbDFNxNbQTatYZtIbSFwWHn6bUwWN1DDE0QHaMj/ABLvlfrTLNYiSOFmVZ37yIjEZA58tuoNPGdZ0VY0j08xttnwrFltZH4iVEaIMhs6PM5/WkcaSQSNIT+NNCeSalZlPX4iD+tWFsoYYsrwHO2UQgfME0G3sLsRxIbmMjIwFPToK0DJepPp92jNvg4X82r1+1GJDim7REhicMY9mVshlPmD5fWiyY1ABd8bnP8ANGuYYruJn0RseaM41Z5delKsGjRRIo16QCATiilS0h7JtWcc8HGf150ik1xFO+hlKE7N8R/imJWVZk1q2kZJPgdhj++dJM2m4aUDk2FYDbFPRQ+IRRTkNKmticnIFSrSqZpS0pznkM1KWlra4jaM4Uo2lc6yNOQ23LngHH92pezgkt9Op3aJjgEY7vlyqNxWKRvdRHMNY5tyTbwPLwxVYpexhMNvlCGJeR3+Mjkc+NU0A4dbwQ8SmaOL3qSSXJQ7kKQflzH2OcVsRzxN2crrEkjDdiM7f9OOeK497pLPijTzyqIlRlDNJ3m1k6/rttW2t5wu+shDbOq6BnAYbUUoa4tfxJHamzWSZ0lD8gQRnw8OX9FJSJe2/HbmNiIonXtDJq+EZ8KBdcT4fb2xt/fDNKu/ZJvvtsT9axb3iV7xGWSSZyok7pVOQHhnrU9dYqQbityk9ykVu4kggzpc/nY8zS8aqmdEYAO5wOdAjYrtpOeWaKe0x3Wzjcgiufq2tIOp5YWhIoiLlExrOTuTvQ0mb3gIyhdjjemtiT3Tk71OGDI2obnB8hS0iO+AkhVieYGacYFOQyD9qgyWGwpmGgmU7ZPrVG951ZJOCdwBimlyfGqu5g3Llh/pPSp0FFE4eRpAunpjmapAs9vL2sGpWzkkfofKj6+0Xc5+VGikUNhj6VpzSCTiUIuXeaFo8tnEWQB44H1oXv5eXIYjnjNaaIrnBA3ryWyjdDrRcDqRvVzpFhaC7A75wrKfynu/3anIplU98hc/mI57A/vWa3CcMXgndGPzoUi31noMzO1tjYKAME9aqdF8ukjvXV8a8hz3Vxsav7wWuJWYKVYsNQPIbYGfn9qx4plkgQNKVdipSRGyVHUEfvTmqJIJgHBkDNpU/LJ+5qiblt+IulAg72Aq5xnHOhXc80olYGMRLgKVXJz4Hw6VXhzp7hGdbbAhQF+M+GfGqFozE/aIVDhcf6hnJwfTUc+lOB6t00UpR1wRtgcgBtjI9DWg/EAVKxhmQ4y4bPhy/vSsy1iD2cTxkFWJ06+6dsfzUi0SO4E7dmvdZiORzuKCxurOqPhDozsT4D+5oF3eo8YaPU+5U+tZbTabYMGXUeZHUH/x96Xt7xkXsVBZs778vOlSwe9cvHkEAh+XkKUth2k25bA2weRot1HpjV1GG+I4FWsRrkLvzAwKEUVYHd8lckqDgHpUoUzPDIZI3Kk7ZG239FSmY7pGtw8d7PCWHcBU7BsdftXN8b4nLb6LW1KvcOMsw300xpkGtpzHL2h3lBywXxxy8qCbO3kluL2KUEa1jAk3bXjpjYbVOtGJbWqt+JKS8rbktRZAFXQWBHgavOwjjZowQBkAeNZ8khkXOSCeWTUe2qgvbxQDQgXH/T0pqC+DYBcAnxpQ2UgtRMynvGlSCD4UWRUb7SID8efIUPt1EgAfA8NVZ0F0VGmQ5pjCMdQA354qcM7EFdt2BwOv+abHdwFcMSKyFyh7sjEHoaaVu7z5UvkzwbO3ZsSOe3KoHUY1bY+9JC4cZw23gahl1nLNg1PyDRuQoOlQaGZtRyY/lQS2eRoahgeYNPAaDxyq2R2ZFBbSDkNqxVZG7NMYznrVCzae7gnwpwHLW6McgLbrnOK0Jbu3lQos3Zkkblawl72ByxuR40ZRp5YxT3B8thWU/wDKljbxycVaaNjCI3AbXjJxyrKAVvMdSassksMi9jI4Y/lB2+lL6P4QcM0zZjkCY68sU5a2N6LgyO0bDBznw5fqKkN5KVLS24yp/Kcfano+JAx5iiKt1yOtH1CvFIvZ8QSYyQzlG2xpOMU9azca2SW4hZdsF4gT61VZbotqAUHpkUOaW9kQobvRjlgAY9PCl9F8iS2XEVfvX8wJ35DTTMdpxMqezubchlyFaPHLzFYjTXtsdrkyZ5hiT+9Mwcb4nboD2UUydVLHNXLosx7cC7s0S3vIOzhXAV4F1AADw8MUfhAhliLW7q+Dg974a0rPilnxGAPrEcn5o5Oanw86U4lwpWuFvOFXCRTFdL43VvI1eoe3M24UEDOVbz/o/WqQssKiTtcrnSVxWc1xfW7xR30C4YEhlbO+fTbnXryhzgagBnGcU2fz6fuJI58EI+BsMnnUrPmuXjjVQcHOeVSmV5GSwRo5HmlJ3xgju7ZArHupjZxi3tXV5C7FmIxsfKk77iT3c4LTzLEpxGuR8IGN/E+NBMsWoujFnP5mNS0we5Z47WNGBwBzIpfh8LX16ka4Khhk+NCmvHI7rlW8jiu69luC9gIZ7pszuBJpwMgHlk0sEW4rw1Y7SKJI/hXJxXI3dkYjy5+NfQr65R5GSOMvhsEnauavIklmZQuDzJH6UrGkcmYyowBivAWUbE5rVntlUnZvtSPZkuQoz61OhRbl1A1qCPGjC7jwNz9KXxg94HeodHgarQb96RuTCvfeAq58/CkiQfSorRrzJHpQZo3gI7pBHWrLOMZ8fCkWMR2TUT51dMHcD60rAaVnbfkOuat2iAbAk+NLRhTnPPwBrzslbDLnPmKAbVxgmido3RaVCtiirEpG+upqtNRmRjgZx5VocMXD6pYyc7AnpWMLXJ1AuB5mtC0sI3Re0J1Hc7mo6i5Y2pJ7eM7lfPG9SGRJJWGgqcZGeo/ooa2KxJHGi9/I5dT40a6tZhPphJGB18On71l1PP1fNlqS3KoukHes6e6TcNJjypk2JO0zMfQ1nzQwpIQdWC2cbCnxf6O5n4SursMS6uPOqWd1LNMka5ILA788VoT+yT3TdvHdRwRSAMVCFsenKr2/AxwnLyXCzA8zjSV+Wa6uZHP1aacRaMOisx645UtDcmxuJeyA7KXfGrToNUNwjLkFhgbEnp6Ui+uaUsrEA9TVYz01e8QnlMZkCERA4575OaHDdjsWODq60uREDuW1YOCOlSPSykKSu+zHxoKmY37Vy8h6YFShRwhZD2ialxyyQM+O1SnjO7/HPrIQMCvNW+cD6UMetQk+FPGrS4Jdw2XEEuZrdJyoJjR/hDdCa7HhnGo/d7i44g+hnfdgpVceVcRwwB+IRKwyC+D9K+odjBLw0W62zOpjAbujBzSDHk41wxgdFyD4b0sl5buLieM9oiY72OW1Bn4FGJGVEdPPHKkLrhE6IFihmljx32QEVKtWlu45CdWrPTbpScgjJyKoLHs5PxIpceBBBopt4lHeikTPLIIpWFtLFMtpAOTyo3+zJyNhvnlQpVEcg7NmXwYk7UYy3KjU15JjkMtSG1X/AGXc6HJXGM486pb2SyRMXPeU4I8Ku11cHDNOzYO29LPcPrZY3I1Hc0Gu1nEp+Mj0q3u0IGFc5570yLOLG4kP/easLCBkOTIP+6lp/hSOF9SKnIHJy3NfL70pchInb8TcnON62YbQQkaJn8cZrF4vHovWC8sZq+bpUEyKPzN9TV4XaaZIo5JAzMACWOKTw2eVaXD4sTxysM4x8qrqyTRxx9U5bN/9zhtg82QAshZs5bIyR5V1trbdmqMuNvHfNczw2Mze0sRjBIJBOPDIJ+wNddEgRQjRzEocHTqIPgQaz7mnz5QjbTSSkhyunJFakNvLPC8vI6sLq2LKBz+9AhniiYGdJ9JPPvCnnkMxAtHnRcHIfryxjOT41y97HRzS5tQVOplz4ZzWDxnhVzJOstsuvTvpGDWvd8PmzntWBx4n9jWabe51Z1ocD50+bc/B1fdJdt7QwQFFUBTsAUyRWU78ZRtU/bsVGd48n9K6iK0uZACSu5/1n/NKceubvhFj2rDdzpQq5OCQd966eYx6rGl4vdXFs1vLpIc5YlMMMGvLYnH4gCoB15msq2vowwYxu8hbUxY51Z3P1p+fiiONMVvHET+ZpVBHyzWuMVZJF1lYixB5nFVMh+JQNC8t+tVtJoGzh2d2zsV0qPnnfamW4ddTsuyREjUARgEeVBUSGUhdT7kjlnHzqVPdFV2E5Grwzg1KWFrlwwGxQZr1mB5LirGMjnQ3TSM1Smr7Px9pxEBlyo3NfTra6j91gIUhSOor577Ij/imbOOmfCvoPEbdk4ZbxBQCVGDn4fGiQakilw+FA22PnQJCewki8dtQO4qsVvoRWZyRjJy3lQLZj2knfJwcjJzio/DkE0B1UMokAwSGHOh8S4nw6J3gl1CRAM6YyRy8aJ0JPPzrmfahfd0nkifDBhy5H4f5p33wTxabiFqzd1Gb/SCvOtCfTH3RGp7o51h8At2u4+3mJLflwcda6Se2VXlBaQkYwSc52/is7zh6w5MDUTbRkk4FZt/CEkjdYVXtMggcgRW9NCiS5yfkc1my6ZLqKLBYs2BqPIZongEycthRjoRXjkiPkTWiEjPJcZzVuzQRYwpxUqZgkJA7tZXFHi9+/FDAEfl5/euhDIGIVFO9YXHbWWS7aaKIlAO9jpVcBmPJFrzEGK9NXOtG1kzGCqA7Vj88nwrVtAogGT+U0/8ASeNP86e4AXPFu2yBhDtz8v3P0rtoppggfWhG22j+a4j2f7t3rQhSI/D0rsoZjpUKdifCl0zkPuTIEMjt3T3dI61aJjuuSxzsWNZ5nIOAWODTdhKDEzAYOeoFZ9TVwW+l7MASMo227wzWVHPrkLAAg7HG9ZvtyTD7rcgK5ZjHjljr0pbhETwT9qmCJIzqHPrTzIX1rqYJQEyRnyx1rJ9tVWfhVvsGBl5HbpTUU6yosY+NmwMKfpQPa+MxcFgZ9O0vIdNq24Z9OJikitoWZYxqHSsx2eVzIxLZPU0WebWTjagoMnr8qtAyyGMYUAtnOrkVrVtZ2EvfaHWw77HbA6VlDGNJ2PMHNHskRtRlyMjq2kH50BrQ3CWDs0oNwJd9KsO6alAeSMaI7e7BiAzpAAwfSvKZM5uWdLGl526b0UtJpwpoLs5+Lf5VOKro/ZZCEd9+/IAD4gV3crzS2lvGZDqCHvHrXN+zluP9hwvsNI1ZxXTSOQlsSrLhPkc0AvoOAocsSMbgH96X7PSxJLHB3pvWgm1jGelB7QgNqTK5qelRIXjklUMdgdjg1y/taqiO5zJuGUKuOeNP+a6u3jknwVwN+rAYrnPaLgfEbmScRRxyEtkDtVz+Xx9KIVB9nSF4ZDpJ1nwA8TW0ZWA0dpIE5hts75+lZ/B7Gazs4UuVAdV3QSLkb+taLRvIrAyCPHeyzA9OuKOhGcyCNyELDfc53pKVu14tHFg6RjABxn5jlTUv4EXfcu++M9fOlrWQveROxBOCSBU4bQDqxY9low3dweQokZDocch4k1IpC2RoY55VRpXB04WPGdzWagzGMFgMZOMAmsbi7xds8UnaAnByrH9M1ovMEkJMiLvz1Cue9oZS92rA7Ec6rnnTnU5vqodIbOWGLVpk5lgP70r20H4I26VnxOc4Zjjzp22d9PPp4VXU8aTrm/jU4D/+UM7ao8V1yR8gZOXLA5feuO4MW96h3G7hfqD+9dXDFIgU6mOTnYfal1+seaNoIYjSST4HH+aYsHUK6kd4HlkHalXadvhwKFDrtHd5jkyHAx5Z/XP2qFFvb19VhZjScC4J5c+7S8DKrKM7mHOcdAQKN7SR3XFLa2FpCWMbEkFlHTzNUitrxJVEkWAIyvMHqPCnZ5AYikxLEQSGG42HOvP/AKg5Tg0LdtktMDpx5VaGEiYBgc52pf29nhbg1sEky4k2yPLetOEdOB3O53r0HppG/nU1sRu31qq4zvyzWqBVySFf4frTdsHKHSuMnB2yCelCU60IQHWm4A/MP7mtfh0aSQ5J0gKTz5UAu6nIyCrAb6jj6Y/vKpW9weSFFZLgLrJJV5FzqXbl9qlBa46OK7mfupIx67GnbTg91cTdmVwx5DP719GHDoy34YB670ZLJI5AwAGeW1JeM7hdu8NpHbOMYUKw+tafH41ezhhY4XbJBojpGz6VOllOQT1Hj9as9vFPD/xbmNids9KaawEhgTZVyehO9exTyI7R2+nBXJ7Q7foabu+HIrp2F0CM7alIIpRLOVbrAZXbTqyvQcqzqua0ODzPHN2V2Y11HVy225/avJV7S6Yshzq1KB+9WgtysgaRCdJ2CnBz60bRI8imJic77HkKDJmCSTUDE7SFcA9B9tq9HDJmRVMTBsY1cq0YzKmcvn1NFXtGzqcEDpqGaNNxHEILs3vZQRtIOQAf4aWt45l4iiXAAZIyGxyPh+1aZS8HGmIgcQ5PePKrXdtNJe61gZl0DvAZ60fScTSMExINBwQGO4PXlVHAZjoQKuOXOnzbSPH3EyfUVSOynEmRHv6ioxbMaBAutlyRuc1g8YtpZnikhjkfC9445EnlXXNw+4Llmh25bEVRLN8t2kUsYHInTVc+J6cD7lddLeQ/9tPWlvPDA7NE/aHZQRyrs2tGXHZLI4bqCNv7vVOxuV5xv/7xT6svg52ML2fUrexI4xuefoa68nqq/WsEJEL5bmWTS46E1o9tcSDMQBQ8mFR1dqpLId8M/DihylZFCY5HI+9LGK5bYuo+dWhiET5lkJI/00sBjOV01GbQte9wpqLEg9MVR44ghLmbbfSozSkFsgPvGmQMTkCsn2pjPELS3W3XLo2SDz5VryW0GkMBPgnOxH71FtoG+GKbOOpWrmyp8r541hcxnDRkVvWfsc1zbrIeJwJIfydmSAfDP8VuScNimfQ8D5BySZMVZYo7eYaYThe9q7U4P2rT6Qwp/YbjlsNcUcVwBvmJ9/ocUlPY31q0Kzw3ESEjWrIQR9q7VOK3UeeybTnY9a9fjPEJAV7cBeWCg3o+jxzsU9i4AD4KjGVJ++OtStNZSBlkjYtvvEv+KlPU43ku06gDO5xR9cUyMfeGRR+UY28+X71ihbx3x7hoXYamkBp2JCgxFlsr3hnrT8PaOlyhKGR8vq1d0eB5fPnVruZWkklA0DSMLnZaWkxCBJKCuDt6+lMXL29xYIzcnAAK7UdF7SM84OGA3IGOQxQrYsOKSEFSUtwMjr3qJ7ugyVcnY82FLQxqOIzRx6hqiTc4bqazVIeXDHuodLLuRz2OTSkbsYXAZlZlGMbBh4U52EhH5xj/AKaD7kM4Mkg3O4TnQYKsHIzltt9Xj+9GkDqc4bIPU+HL9vSrxWrL1JwMbrRmtwVIRzv5YqaZJpjKjauedznbHhQ17QuNzj7U77nGp/5hx4ECrC1jzvL+lI8BSDs1JDYAGOfOrRM41Bj1GTTHusWnLS6iPMV40Eekqsv/AMhT0EleRiyox25ZPKvLnLxDOUI3JBzmm1tYEcN2hyOmoV7cW9mV2nOegDcqCZqudmjJIAwWYYz8hXr6thk6hzNPw2sMrEQFnI2O9HbhDsrARuDinngQ2DMo1SEZ/wCgVWPhMKKMHkMDA0jPpR47mazjWOaAIqjGWBOa8m49DDjVa6s8u/j9qmxUqi2MYJ1Kp9BVhbwqcdmD8qp/vBA/OzQesn8VU8bTHctogPU08CXsP/C6YIsszAaVG9KESwOwuY5I9QBAIwOvKiXnFFlhwYISRy2NM2907WhEsp0DGAee9NNmktRbkjEelQJLjAicjyFaNnFFeu8fvHZkLldY5/ekru14pDN2Vr7jNnkUfc/LFISByQykY0AZ8WArwWMradk/92f0qx4d7SSDnbof/RmrLwHjjn8S/C58BtQfyE3D5NWS6jzINeG0VRmSVNvMf5o/+69+ygScRc+PSqn2KZz+Jf3GOoEhxT08LNb2wGGnHyYfzUpxPYu0Ud+R3PiSTUo0saNq5ZFkMQIbcaP0ya8vnnYdnw8tDLuDJJCAF9KlSrQQis42WMyvHNOi4x3NQYDnucjJ86zb20viB2ZaEq2Dgg6PUcj8jUqVNVJ69ksi1tJK11OjIM9zGGx1wR+9ZtrBfC6vRFOXkjKDVp6EZx96lSkchow8bC4L8uX4dDkXiynvzadXjGf8VKlSoIDim+Z3Ax8RiIH1IplLTi5X/mufRf4qVKYXHD+MPsZpR8sVccD4u24mmqVKWBf/AHe4yw2mmJI8cURPZfieB2900Y67kmpUpinP9zlKgycUnPiFFeH2JjfBS+uAvg7b1KlO+F+nrHgDcLjZbeTXqbU2TuTTUvEJbGDMgBwcYfO1SpS08JycflmQqLeB1PkT+9ecPsoeIMWlsFbScBSxAUeQqVKCrZj4HYKuVsYfQgUdOH2qcrOMegFSpT0YKtpbjlboP+0UObh1vOCrxqAa8qUjAPAOHk724J8cnNFh4PZwSLJHAgddw25IqVKCOGNRXnZ+FeVKDW7P0rwxeBrypQHnZGpUqUE//9k=</t>
  </si>
  <si>
    <t>Arcade Independence Square</t>
  </si>
  <si>
    <t>Essence</t>
  </si>
  <si>
    <t>Colombo</t>
  </si>
  <si>
    <t>2 h</t>
  </si>
  <si>
    <t>Spiritual</t>
  </si>
  <si>
    <t>Shopping: Browse boutiques in restored colonial buildings. | Dining: Enjoy restaurants, cafes and ice cream. | Architecture Walk: Admire the restored colonial architecture and fountains.</t>
  </si>
  <si>
    <t>Arcade Independence Square is a shopping and dining precinct in Colombo built within a restored colonial-era building next to Independence Memorial Hall, blending heritage architecture with modern boutiques, cafes, and restaurants. It has become a popular lifestyle destination combining Colombo's historic character with contemporary retail. The complex sits within one of the city's most prominent green and monumental spaces.</t>
  </si>
  <si>
    <t>Asgiriya Raja Maha Viharaya</t>
  </si>
  <si>
    <t>Temple Visit: See one of the two main Buddhist chapters that guard the tooth relic. | Reclining Buddha Viewing: See the large reclining Buddha in the shrine. | History Learning: Learn about the temple's role in Kandy's history.</t>
  </si>
  <si>
    <t>Calm &amp; quite place, near the entrance right hand side it has a Buddha statue. And next to that bo tree is there. When you go to the top via steps, you will see few more things. It remains a relatively quiet, less-touristy spot.</t>
  </si>
  <si>
    <t>https://encrypted-tbn0.gstatic.com/images?q=tbn:ANd9GcQ9Gs-lxsnV4CcpqBw0dWXFLZhI_2chOaOxUntL3Sy41w&amp;s=10</t>
  </si>
  <si>
    <t>Asupini Ella</t>
  </si>
  <si>
    <t>Kegalle (Aranayaka)</t>
  </si>
  <si>
    <t>3 h</t>
  </si>
  <si>
    <t>Waterfall Hike: Walk through village and forest paths to the falls. | Waterfall Viewing: See the tall cascade legend links to a horse's leap. | Bathing: Cool off in shallow pools downstream (check safety).</t>
  </si>
  <si>
    <t>A historic 30-meter high waterfall on the Maha Oya, steeped in folklore about a king who committed suicide with his queens.</t>
  </si>
  <si>
    <t>Atha Mala Ella</t>
  </si>
  <si>
    <t>Matara</t>
  </si>
  <si>
    <t>The beautiful Athamala falls in Matara district is created by Nilwala Ganga and this is known as the only waterfall of Nilwala Ganga. This is also known as Pahurutota Falls. With the water of Nilwala river, this beautiful waterfall is a wonderful creation of nature at a height of about 52 meters. It's a popular local spot for a refreshing bath or swim.</t>
  </si>
  <si>
    <t>https://encrypted-tbn0.gstatic.com/images?q=tbn:ANd9GcRJowe_-4KMUAEKPVaOKhT438sZRqLiCqmY3CO1ZYmsjw&amp;s=10</t>
  </si>
  <si>
    <t>Athkanda raja maha viharaya</t>
  </si>
  <si>
    <t>Rock Temple Climb: Climb the steps to the temple on the rock. | Summit Views: Enjoy views over Kurunegala town. | Heritage Viewing: See the shrines and cave.</t>
  </si>
  <si>
    <t>Historical Buddhist temple located on kandy kurunegala road walking distance from kurunegala town. Very calm place specially in the evening. There is a cave temple as well. It remains a relatively quiet, less-touristy spot.</t>
  </si>
  <si>
    <t>https://encrypted-tbn0.gstatic.com/images?q=tbn:ANd9GcQ9W4fY-KNOJvQ5F5OYbxibBL-SETjZl7AIxiZyw-J-MQ&amp;s=10</t>
  </si>
  <si>
    <t>Athugala viharaya</t>
  </si>
  <si>
    <t>Relaxed</t>
  </si>
  <si>
    <t>Giant Buddha Visit: See the large Buddha statue on top of Elephant Rock. | City Views: Enjoy views over Kurunegala town and its lake. | Sunset Viewing: Watch the sunset from the rock.</t>
  </si>
  <si>
    <t>You can see the entire view of Kurnegala city from here. Very calming and relaxing. There are two ways to get there, If you have a Car, van, tuk tuk or bike you can go to the top of the mountain by that without an issue. It draws a steady stream of local visitors, especially on weekends.</t>
  </si>
  <si>
    <t>https://encrypted-tbn0.gstatic.com/images?q=tbn:ANd9GcSs5H4Hg4LKdfXhNpqocN8L6uNIgkwyT3omevaH-nHPfg&amp;s=10</t>
  </si>
  <si>
    <t>Attanagalla Raja Maha Viharava</t>
  </si>
  <si>
    <t>Temple Worship: Visit the sacred site linked to King Sirisangabo, who gave his head in sacrifice. | Octagonal Image House: See the rare octagonal shrine around the stupa. | Mural Viewing: Admire the old paintings in the image house.</t>
  </si>
  <si>
    <t>Attanagalla Raja Maha Vihara, in Gampaha District, is a historic temple with royal connections dating back centuries, traditionally associated with several kings of ancient Sri Lanka, including links to the story of King Kelanitissa and the region's Buddhist heritage. Its shrine rooms and stupa reflect a long history of royal patronage typical of temples in the western lowlands. It remains an active site of worship and pilgrimage.</t>
  </si>
  <si>
    <t>Attidiya Bird Sanctuary</t>
  </si>
  <si>
    <t>Wild</t>
  </si>
  <si>
    <t>Birdwatching: Spot herons, kingfishers and cormorants in the marsh. | Nature Walk: Walk the wetland trails. | Photography: Capture birds in early-morning light.</t>
  </si>
  <si>
    <t>Very nice place to hangout in the evening. Have a little food court there but it doesnt have much food varieties. There is a car park to park your vehicles and also there are bicycles for rent near the park.</t>
  </si>
  <si>
    <t>https://encrypted-tbn0.gstatic.com/images?q=tbn:ANd9GcTFwB2O_R0v91T0bi8hT-lxm-YgX3v8ZD9_OmUzwIG-wA&amp;s=10</t>
  </si>
  <si>
    <t>Aukana</t>
  </si>
  <si>
    <t>Anuradhapura</t>
  </si>
  <si>
    <t>Standing Buddha Viewing: See the 12-metre granite standing Buddha from the 5th century. | Photography: Visit early morning when sunlight lights the statue's face. | Kala Wewa Visit: Stop at the nearby ancient reservoir built by King Dhatusena.</t>
  </si>
  <si>
    <t>The Aukana Buddha statue, near Kekirawa, is one of the tallest ancient standing Buddha statues in Sri Lanka at around 12 metres, carved directly from a granite rock face and believed to date to the 5th century, during the reign of King Dhatusena. Renowned for its finely carved robe folds and serene expression, it is considered one of the finest examples of ancient Sinhalese sculpture. Its precise alignment allows the first rays of sunrise on certain days to illuminate the statue's face.</t>
  </si>
  <si>
    <t>Badulla Alugolla Samadhi Buddha</t>
  </si>
  <si>
    <t>45 min</t>
  </si>
  <si>
    <t>Statue Viewing: See the large seated Buddha statue. | Temple Visit: Offer flowers at the shrine. | Scenic Views: Enjoy the hill country surroundings.</t>
  </si>
  <si>
    <t>Nice view point in Badulla. You can see the whole town from here. You can drive all the way to the top and there are a few parking spaces so it's really convenient. The spot is also known for its scenic views.</t>
  </si>
  <si>
    <t>https://encrypted-tbn0.gstatic.com/images?q=tbn:ANd9GcTTuj9faWKFrE4Fpgae4evs5dBRJqkwgGo4yU1hcGaa6w&amp;s=10</t>
  </si>
  <si>
    <t>Badulla Dutch Fort</t>
  </si>
  <si>
    <t>Fort Remains Walk: See the remains of the old fort. | History Learning: Learn about Badulla's colonial history. | Town Walk: Explore Badulla town nearby.</t>
  </si>
  <si>
    <t>It is also known as the wele kade ancient market.As told in it's name this building was used for marketing.This also one of the oldest marketing complexes in badulla district.</t>
  </si>
  <si>
    <t>https://encrypted-tbn0.gstatic.com/images?q=tbn:ANd9GcSBThBrEeWLdjW4vH2NDmBXtW2SKrtb0FmeHpcXYD5qgA&amp;s</t>
  </si>
  <si>
    <t>Badulla Katharagama Devalaya</t>
  </si>
  <si>
    <t>Shrine Visit: Worship at the historic devalaya. | Puja: Join the evening ceremonies. | Perahera: Visit during the annual procession for drumming and dancing.</t>
  </si>
  <si>
    <t>It is said that the Badulla Kataragama Temple was built in the center of Badulla city by the first King Wimaladharma Suriya who reigned in the Kandy era in the 17th century. This temple was built in accordance with the King's wish to expel. It draws a steady stream of local visitors, especially on weekends.</t>
  </si>
  <si>
    <t>https://encrypted-tbn0.gstatic.com/images?q=tbn:ANd9GcS84hcgfDrbFQ1xyNQXxpf4CY75ub10Qqm-vRKfpVY2oQ&amp;s=10</t>
  </si>
  <si>
    <t>Healing</t>
  </si>
  <si>
    <t>Bahirawa Kanda</t>
  </si>
  <si>
    <t>Kandy</t>
  </si>
  <si>
    <t>Giant Buddha Visit: See the large white Buddha statue overlooking Kandy. | City Views: Enjoy panoramic views of Kandy and the Temple of the Tooth. | Sunset Viewing: Watch the sunset over the hills.</t>
  </si>
  <si>
    <t>Bahirawa Kanda is a hilltop in Kandy topped by a large Buddha statue that offers panoramic views over Kandy city and its surrounding lake and hills. It is a popular sunset viewpoint and a short excursion from the city centre. The hill takes its name from a local deity (Bahirawa) traditionally associated with protection.</t>
  </si>
  <si>
    <t>Balakaduwa ella waterfall</t>
  </si>
  <si>
    <t>Matale</t>
  </si>
  <si>
    <t>The Balakaduwa Ella Waterfall is one of the most beautiful waterfalls I have ever seen. The water is crystal clear and the scenery is simply breathtaking. I highly recommend visiting this waterfall if you are ever in the area. It's a popular local spot for a refreshing bath or swim.</t>
  </si>
  <si>
    <t>data:image/jpeg;base64,/9j/4AAQSkZJRgABAQAAAQABAAD/2wCEAA0JCgsKCA0LCgsODg0PEyAVExISEyccHhcgLikxMC4pLSwzOko+MzZGNywtQFdBRkxOUlNSMj5aYVpQYEpRUk8BDg4OExETJhUVJk81LTVPT09PT09PT09PT09PT09PT09PT09PT09PT09PT09PT09PT09PT09PT09PT09PT09PT//AABEIAIoA9gMBIgACEQEDEQH/xAAcAAABBQEBAQAAAAAAAAAAAAAFAQIDBAYABwj/xAA5EAACAQMDAgQEBAUCBwEAAAABAgMABBEFEiExQRMiUWEGcYGRFDKh8CNCscHRFWIWJDNDUlPh8f/EABcBAQEBAQAAAAAAAAAAAAAAAAABAgP/xAAbEQEBAQEAAwEAAAAAAAAAAAAAAREhEjFBAv/aAAwDAQACEQMRAD8A89lFuYVZFIJ44Pf3FVTSk5PpmkqTjTq6upKoU11dSUDqSupRQdS59K4YzzSkAnigkhldJdyHBFGINXXw9s8ZAPBYcge+OtBOUIxjNKjbWB69KlgOpGkx8UJ4b9s8bh/cVYRYoy02XBCjcByGxxj2oVDqSNGIruEOi9GXqKt4i/HrLb3CLDKMFC3LH1qSdEFzerg4nkBUkrDG3HJz8qFyOznk5ojc6ZIJAAMnnLA9fpTTot2QfDRXwM4ztJ+hraBtdz61ck0y8TIe1lUjttqSDRNSmXK2pVcZyxA/+1BQApSOKLf8OaqCVaAKQM8nt9qVdNubaMu+Nq/mCrv/AK8UAmKCWc4hjZ8elP8AwtygBaBwPlV5LtogBHF4PfJXG6rsVwjpmS2ZhydwJH2FLqhcAvbRmlihdWK43bckA+lLLfGTTIrQ53K7szE9c/s0YR7SWI4V1BGSQSRVRbZDcJ4gWQA4CALyP71myX2B1retBJExUOI2yAaablpLhpZMsXOWrSPpUOBLbwQrn/2oQPt2pZdCsXyzSRRDGcxsePpU57XAJWSYhbdXLDkk8Ae9SiTmOEOETqx7k9yabezQ25a2tVIhH82MFvc1XggnuGLRRO6n0XIosWp5JPEw5JplopaZpiMLCu7J9e1XoNPhijH4+5YEjOyPnHzIzUlxZW6RBLcTIJGyQxVvoSKjQLNIWbcTkscmlowmn2H5XS4kcDzEyBf0rqqKNzokoJNuvmHVD3+VCpFZHKOhRl4IIwRW9j1QpId9qrnPJ6cfKpr2w0fV4gLgPbyfyyJ5ip/uK6Yxrzmuo5qXwxqNgXZI/wATAv8A3YRnj3HWgnHaoEpaSuoFrq6lFBwpc4xxShN2cHkdqdCpLNjaSoyQ3egb1yT+tPVGkXKKABxknGfvUoUFSuFBPGBSxkeGyoQQvXPzqIbDFE2BcS7Plzir7QWFookW43SEZAyCf06GqLRsVJOGxnAx0qHYw9asBi71w3bRmWFRJGB/GTyl8dyOmfep9LfU7yZYodS3AEyBHYHJx0+eO1BII1lyNjlwf5elGrPSoE2TNNcq4PMa7VYe4z2+laK2dtcSGBvEAlWNiMEcj5/aq6SRtyCwQPjPTbnrk11lKJ0mEmAZMc5GXGOuB0pLSKASRkAsFbIGen75rFvUwRnkaC0iA8Pccqpmz5h8/wC5p9nFsVomiRA5yeOHJHc4xQz4hN7KFnsleVEVixOPL06UzQLia+2wHcFGXcZ5IHv0raKerumj2ytdWtrPemQmHHPhjpye/Hagf+oWCqJGsnknP5kM7hAf60a+MoEd7JFcHJY5TAY5/Ln581jy3hOVZCxB/mJo1Ggvb2zu7dIoYbK1l6tIjGJPljJyf9x71QtdQjhRiWXcOACMfXjrSW+rwQRyFNLtzcMMJIzZWMdOF9fcmhJd2wCxPOaitDHNeSQl5pnRWORtXIYe3p/WopF2ytm4YEjzBhlh88dPrU3wsI9s4vHkNsyHCp1BGOR9/wBDU+o6PcNHJ4N3GkB85DpiQD/camGqcsSW6xzNHJMrg7ZJBiLPTr3+Qq4b6CKLZLNMy+qqFGfYelZ2V4lkbwZCwAA37Bk8c/PrTYygbMoaYAEAMxGDUsXRW4nTw5Y4HMgYcbP5fmRVB5ZIQju7g9gMj+tJ+IZl2j8o6KB0pFtri7yIIi+OT2A+prONacdQmZdpcso6ZNdTG0+6VRiEkeu4f5paqHWFw7zCOSZV9GkJx8q0EesJakCRoJRjBKA5/UVkpUKPxXI27h2PHatI9KsNQtbhNillbH5T/ah+saJDejxdoY55kQYdT6H1rH29/PauPDfKjkbh0+XpRRddunjKeLlGOWwMHPvVZwH1CwmsJtkoDIfyuOhqnR6W5M4w4D7uueaGXUKAbogdo6g9qgqVwNLikoqQN0J6d6WPO4c8f2qKnquT1oJdxDELjk4oppdg91IhjGUDeZvCY4B69KE4CHy9aN6FeWdrdbNQWdY2Q/8ASYqwPYgikjI1DpsywSPALRf/AB8RSDj39P1p5spo2V7zR7eVHGARKD264IzVy3lguoQ1ve3khBzslYMBV6KExMjEDBBIbrx8q3iaq6bY2dtdx3S6csbMmPDZwzc+q/IVomTT72FG8FdpUNjbjn1FMjR3hO5PEQ8gY2kD1HeltdNmDGbMpBOVRmzge1QCBpzi5dTGTbgfwzjBXn171bsdJWY8ygDd5gRkED37GiqWksZCBSVHr6VfgtUVMqu0HqM1mzoH3Vm0doyxZRE6gclh3qvbvaxwE20Qjz2C4ycY5+1GbuBntXWA+YqQoPrQqwt7kRtHdQkDlSQOT2zWojE/GRji1aKQMzTKu9jnygdMYoRq1zp09ihSVpLovuJChQq9MHjmtd8V/Ds11H+Lj5EKny7DwKxVjbKuoKl1AUhzly6HKgdxRuKtvZJcqPDeQDcd5Kdh6e9S2ml3AvYllgYQOy7pHUgBSev2rUWyaWY1QpcNHES2A2FPPbB9KYrxeXxZhEpYyIMY2tny4+QxyKYaKPLZ6Tpx/AwLskH5lcEvnsMc49/0rLanrBSOSF4kMrLtEeMpEo4xjPWikWjtJetqcMwkCg8SHaCTnlePaslqG8Susvh71cglDnHtQip0pwbHTmm+XnFIoLMAoySeAO9ZaOLHtUsEF3djbbwSSgHkqpIHzNHNO0e1jtjd3u2YA4VGfYrepJ48o6e5otY69t8iBBGCQiQJtVh2GAOg/Ws2rIzD6FrCoCdOn2noQuc11ehW9xLLEGuW2AgFQzjPPPPIpax5VrGCms8oTgFexByRQyaAxZ5yM0kNxLH0Y49Ks8TJnvXZzUe3FKjFGyKWSMofamUBG1mDDBAHypk7nxOPy1Vjkx3OamZ0dcZO73qCNoS25ox5Rz1qDp1qwpwSvYjFMOEcKRkUlDQoKt69veuQHeufWpBGjLujzkZzk8VHkMOnNVE0pQTDwvMAeB60952ll37cuePXt0ozpPw9dTQw3yv4a4DgZwzLnqp9aO6X8N2mpJK72rQPnBG4nn1FVNA9H1a9sHChVIClcng8ep+lbvTJxcWkN1JbPH4pBJIx68/L5Vd0n4ZsNPVlSLxC/UyDJoybK2jtwGRRGhyo6bTTUQiJfDG4nPQEirMIEcYGQT+tVpdStoPKCH9l5qvLqeYxOIgqADzj9cUBkLlQT+lV7iUxuGLIoHY96zP/ABPLMWEPhbAdv8OTe2ail1J2T+OS24+UEcoPlTBo5L6GNQeS5GeR1qCLVGdn8jkdD26dvnWeN6RZnwVlDc8nGPnTFBnhVXik67mwx9vf2zRBm51+xs5tt3eCFiMiN2HOfbrQDVfimO3u5UK+K7gAFsEj1yD2x2p8uiaewZ5bBN74wW9fXPWo5LKwFlK5sbRpP5WYcrjp0+30qrAo39ncxyyjcpALIiqFLN9qG7YdZxDCwjleTaHlbCj0Ge3NEIJXJYXcKbyQOVGSPp04qnqLz3V462ChF4cpkY47j0NRoesfhu9g06CO4uoWSNy6sGJ28dOwP1/vQS5+HChfw7Zw7MQEeQb+vJOcA9+lF9K1eaezkS52xyJypBJ29MnHf1+9Ta7byajpItw8soRw7lTzIACMe1KSsVPpVtDKElvrZCRkhZQ+32OO/tTF05o4kuGJWMglm3LkD0xnOT9OtEEsbSeUNpkSi5Xgwu+Nn+7nOcdDRGawOhQYvLq1V93icEM8remP5R255rLQFI1zfSZnZoYVAVVIxgDoAv0/rUsV9BYA/hnHiY2g+HkgfPoD8qr3muX1zIWDrCD/AOpQv69aHO7O25iS3cnqfnUURn1CRMETOXky7tk5JrqGk5GDXVMgRhjnkUsbMrZU4poZlyMn3BpVYBvMMitMrG8SHzjn271XcBW6HFWU8Jx5CPkRyKV4tynPFBTPtzTmbco46U0jDY9KcGI5HWgcrDgU9gHXI6iow3OeM05cBuG59TQIiFsLt5qaC3aR1ADEM2PLjNSxx+IpdXK4HOKuWizJPBKkakAAbAPzVYlbb4YWQ6YsDpwrEAMecZ7itTAyQJuk4J444oLprBLMA4Ryvmz69a68mkCo4YspHBHapayNy6miKFCruIwCwoPcXhmMlu8vnfny9qD3l1LLIkat5tpYkc4ApulGLxZJZWZiV8p6YINSbSibagsQFugDsOCO3z98Dk/I1m9VEF9J/wA5fXMmPP5Yic8kfQdh8jQ/4h1R/wAUk1vLsYMVjKHhUHH1zzk96oyandSO8hkw7RhD3G3JOP1NdAX3QSCNNJt7wyL+TKhVU9yeTyflT4dXkibN+5L8EBhyy/Ien+aFWtyEQOHeMLu3yZOWJ4B+2aF3E7Pelgdu3AXB/Lj3pqt+upW0KxSGaMJIQq9W9+QBxjrzRBb6KJxGxWTIYgqMjK9TjP2rBAstjgSsqb28QnoPejDNLOtrJAiMTuYqD+fpnj04FNTF+6+LLeOGInTp4xMcx+IwC47sQCT3oAvxRfLujVY1R/zYHJB+dUNZmZr9oGx/y5ZMD1zz/TH0p2laFqOrsFtY0G0ZG88n5AZP1xipq4M3F+LqyidEbfGu2TBxu75GP70K1gxpsa2dgroQwIwOvI/frV6XSdR0o/hb6IRswGdjq2fng8Hp1xXR/DWsaiwhtbKQ+Yne52qPvQCNLuGE5V8bGB4J6H1/Sil1PerdJE0dwk0iKyAYkJX/AG8cH3/Zl1X4Rn0K2Et/dQgyZWNFPJPfHqMYrSTeCLEXFtHLc3MsRJGxo/GXGTt24I57Z5BpWpGKuTa2LNAEaeUkF137lBHqe5+WKFzzPcSmSYjeRjhQuPtV2+Z2nxLai1l7pHHsHPPQ81RK+YnFZDKSlIpKilxmurgcUlFWikd55ovLLjkE/mqmysrFWBBHUVynawPpVxpIbmPDq4kH8wAI+tVlTFSxs/O1x8jTGUr6H3HQ03NBO6eIAehqE8HBpyysvXmkJ3DpzQNNKOtIQcUq0Bj4fhW61LwHAKOhyPWttYWUdjGUk86t0J6qPSsh8M/wtSExRnCo2cdv3mtRJI8z7YhnceM8VZ6YvsVt4PHtwSMqp7ehqSSBPwzhW2Jtxz3qC3d7eHIbnGDiqt3dsAJZCTt74zUFSeBooEmZisoTnHJbk0Ju7wvZiEgR4be6p5dq9f1xTrq9kYyTFshuct1rNTSvI7M583etEJdzCaYvtCrgKqjoqjoKapLRvj8zd6ibrTxnZtXjnijSeNtsZP8AtzioYoZLiQmMZ7mpHDmPaRjOBmtBpth+Htt23/mHXftzj7/KiBEtvdtbgeXaz5Izg5xj7UQgv4IBFDM3huF2eLH1T3/Wid5o8u4yI/mKhtuOGOO3pQi809LVI57qQh2J/N1P0oRt4NHtZvh6MW1zbmNzksr+ZnPXOec/P1q5Y6P4MRaS4kDx8QtFJ5yPT0IrziwnuZZZDp0MZWNdzGQdQK3Uur29tp1uU2CV0VpEZgm0kdOpJ5o11Bq85dV062iVVR8yyyDdvPX83zq/pMOoWojgvI5Uhm4jJY8H09uPWqS6wA3is0EKHyqsXLce/wBKu23iLPbXe7dCNxA8Qluh65+dQS/EFsbyLwFEbrHglpPMMHgt8z/astYzTSQNZ6hceHJbzFbZpTsyvQgH5gEfsVsoYhdQr480kLSYDFVwGGecZoR8X6FPJFbSW7tM0J7Ly4HA9yAOpos4Ea5pUl5BBKyXB2rhnYcH0/tWcuNIulRViXcc9M8n6V6BEZLpNOukuDbLJCqywHHO3148x6dufah3xVr0UTNBYafEmxtvjugDOQOcL1AHr+nesZfi8Yi60fULScwz253AAnaQRVOe3kifbKhQ4z+8Udi1ohD4sCvzwFwoAqP/AFGF7di+C5fGzHRcH79qu36mQBCFvyAt8hXUbn1DTwEQ2niKFH/Tfwue/IBzS00xn6kSUqMAL88c1HXVUTbzKfN+pqMRkkgDOK5WwcmnIxGSrc+lEIib+Bnd71xBRsOuKtR3jBi0qb27NkgimzXJfcMbsnIJxxQNZo2hwvDVFjB9qQ479acnmoNT8CTbddaPcB4kLDGepBBrY3Np4bu6NktyPb1ry61keC4SWBzHIpBVwehrVaZ8Q3v8NrsmRGyN79Cw7c1Uo025YmB71TmuWCt5WMajkUq/Ell4jR6hbiLZ6MDkfIZzRGw1X4alGYbmBSDnFwNrZ9t39aZiMdqKmSHcqYVslV64oQYGEeMfWvZRo1hdBZ2t4wGxhozkN9qrT/CFhcLtVSpz1UVTXj3gvk5U9OMUhWRQpZWGemRXrCfAlrG+4qxUHkFs5qj8V6Qbe3xbwQLtXyu2FAHoM8UXWGtxmaBTtBLcluwo9c3f4xZFdVmz5UIGCM9V+tDY7W/ukMdpZG4lh8zyROGIB6DAPzq3pun309nut7acS7sMQuenUfOqWJdPvLmDULaH8WwSQKJFIDefAz15HHFBviW4E2qOrSNKYvL1OByegrSWljcw3L3E9m0DRsGcleF7AqP361kr+LZfSrMhJ3nc2OTSn5R/j7qO38FJdiMMEpwSPQkdvaqbdamljUTMEbcnY4xmoiMGo0nsrqe3mTwXIG4eQ8qfpW20TV7O6uIrLe0cvI2sMKzcnj0+tYWBQZkDOEBIyx6L71NbTvb3CzIwyjhsdyRQe0PuWK1MSkRgZYjkD3z++tUoNTGrapL+GVhBbxbC2dpZye32NS/DOoJc/AgmXP8AAikQjOD5c/asVoN3JFb3cqyvGMBlVX5yP8DNQgraW00l1L+PuZFtEBlid3C/h3zwQTkAHP61He2/w4JopNU1dpDuyRZgspPfc/c/b5VltYv3zFCk7MMl2XONvPA/pQjILE5C7v0qLWwuvhS0v1N9o16htXPCyscp9cZ+9B5fhjUVkMQaJtvo/wDfvSWRu1tiLC7leNTlto8NFJ9fUkD9K0Hw+J2aQalewq7IDHE0g8Q56HAyfpipl+LMZaXQ9QhbDwN9f811egahayQqCAkhJxgB+Bjr5a6s7+l48mpVUscKMn0FWfxhH5VRR7CpP9SYZ259u1bc1R4njGZI3Uf7lIpqttbIqwb6Vs5bI7g81FJtY70XHqKBrNuNd2rsj1pDQLmlTlumBTafFlpABQW1RV2MRkVufg3U4P8ASZdNbwpGWRnRH54bv96xkysbWMD/AMiP3++1ab4Ojis7y4v7hRsSHw0JXdzwTx9Ku9A/XNLMFyrWkb+DKc7TyVbuPlVlfgzWHMfgxxsjDd4hYKB/epLnXrme+SO6vZLm1aVWkTYI12A8jaDzx71LqLSRv+I0i5AtGXlY8SGE5x8xnt/WqmNj8M2kuiWMdrcth1JJAOVbPPFaIXdtsXLgA+1YHSxqLKHj1VNowV/hEB/UEZx757Uca5kfHiI5Y8ErwKzTGnLgrlW69DXmHx/cyW/xDDIXZRGquhIyGOen+a2MV6bbyrh8noW4qSdrS+XFzbRTLjoy7iPuKSjBfDcyf6r4mmTN5lUSbgBkfzD6V6LA3nDNIFLHJ2jOfnUP+nWUXmt18MEcqANvywKjuLQRxFreQKBzzgAn2xVF95bVw0ZdHB4KhgfvQ7UdG0i/iDXdtDIAcrxnHvQppLlDgydedq/15HFMaa4R1WSWYZOQGIxQxTv/AIM05mYQjwEH5mDAbR34NZ28+EirsLRy2ATkNuDf3FbIO80nh8PgZBY9PbIqRY4AmY0MEm3nK5zzz161NaeZTaDqMf8A2GI/8h0NdbaLfyTBBbZKnlWOM+1elfg7eXxCBOGzhgHHP3qxa2reWNY3jPVN5JP36VPJQ/4ftrvT/gbUt0XhySb5UjOfLxjH6VmtDjVRMbu3dVW2YuWJ56Yx9cfrXrkcStbiN/MrDkMK6G1gt8iBAgPYdKrOvn64DSXMkjLt3MTjHSozGCAB1PSveLzQtLvJHmutPt5JDyWCeY1nLv4V0aa42vYNCnPmgkII46n/ABii68z/ABEqhbWBxHFjBxxvJ65NbvQItJtl/FJeW8Z/KoikMs0rcc8jJzjsKzt58JXlrcmSxmScZJAJ5x8+hqVvhO9sLU6hdRpNGACQmWyMdMD7Ulawc1T4j1pX/D6NpVxGkbHLNCVDe4B5Pzz9K6szbXV/AxZZ7hWIxsDnCD0APArqaM5DBbvDuknEbnOAeaeLOFm2C8Qk9MLmqjdB8q4ErypIOeoo5rhtYAMG6jVh1yfzf4+tc9vCJm23UYXtx+/2aqL0+tJQSypGjMFcP6FRwaj7Zrm/J9aVKKRQWOAKI2NqiPvmdgewA4qpEBk0Qs+WIParBeeykMeV8yDnKrzRXTtd/BwCzezSeFTksvlfP77VFYE+GvJ7UP1fy3GV4OTyKqNrpGn6Br6IXTJg/MrLsk6k84PK/virVx8MWVu8sumQuhkQrt8QlTkYxjvx61hdPllhvIZIpHRw+AysQQM+tewwuxs7dtxywGTnrUGKtfh2exL7HZiQCFz/AGzj7VI91JHO0RXwGDDHOQP/ANrdOibwdq5x1xWZuIIfFc+DHkOcHaKlWKyrNvVt0cj5wQpIC/XpU0F0UY7o5A/bJP2/eapXpMaRmMlTjqvHeluGbw0O45IXJz71hR2KbxlyGdPXI/xVnYZCAyAqpyORxQuxJwvJ5P8AmjZ/KPfH961GaoPFD+JbczK2O7bAp7GqlxZtM7FpHlcgDOcqP3xzRpESSBDIisWAyWGc00wxNGd0aHCnGVHoKqxmHsTAyhW8yHBwf/tc8jwOYwVHrsYjPzovZIj3RDorAAnkZ59aq3yqZslQTgdR7CsVqVBBdbADHLIrjsen3zV23kEpyZNrowwB3oc4AAAGBjpUtvwjEdcGue5WmiguBsGUw2Mc96ZHqALMJF8MDqc9KHQyPlBvbnGeetTE8RDsX5H3rrrGB/xBrlzC0SWTtHnktgHNBbzUL2QqZZyjAYzt557jH74rTtGn4krsXG4cY/3VHcKotoyFAPPb3qWrgAmrXotvDVIZ3/mkMXJ+eRUFpqVzbySJDOjckFZF5PPt8q0Nvy/NUnjj/GMdi5yecVJ+ixFYanqhnY+KSu0jlDgc8Yz7V1TsSIRg48x6UlTzp4v/2Q==</t>
  </si>
  <si>
    <t>Bambarakiri ella</t>
  </si>
  <si>
    <t>Suspension Bridge Walk: Cross the bridge over the tumbling falls. | Waterfall Viewing: Watch the wide cascades. | Bathing: Cool off in the shallow pools (check safety).</t>
  </si>
  <si>
    <t>The stream of Bambarakiri falls starts from the Knuckles mountain range. The water of this waterfall, which flows and forms the super clear water, is extremely super clean. Suitable for drinking. It's a popular local spot for a refreshing bath or swim.</t>
  </si>
  <si>
    <t>https://encrypted-tbn0.gstatic.com/images?q=tbn:ANd9GcQr1yWZQ2TXATlaXrPNgnR4dc_eZ60UsTOKqK_bxKwcWg&amp;s=10</t>
  </si>
  <si>
    <t>Bandaraduwa</t>
  </si>
  <si>
    <t>Scenic Exploring: Wander the area's open landscape and enjoy the quiet countryside atmosphere. | Nature Walk: Follow local paths to spot birds and village wildlife along the way. | Photography: Capture the rural scenery in the soft light of early morning or late afternoon.</t>
  </si>
  <si>
    <t>Bandaraduwa is a rural village area within Ampara District, part of the Eastern Province's countryside known for paddy cultivation and traditional village life rather than a specific landmark attraction. Visitors to the wider Ampara region pass through such villages en route to the district's many archaeological and natural sites. It reflects the everyday agricultural character of the area.</t>
  </si>
  <si>
    <t>Baranaville</t>
  </si>
  <si>
    <t>Ratnapura</t>
  </si>
  <si>
    <t>Local Exploring: Explore the area and its village surroundings at a relaxed pace. | Nature Walk: Take a gentle walk to enjoy the landscape and birdlife. | Photography: Capture the scenery in the golden-hour light.</t>
  </si>
  <si>
    <t>A colonial-era bungalow and estate area known for scenic beauty and local heritage value.</t>
  </si>
  <si>
    <t>Barberyn Island</t>
  </si>
  <si>
    <t>Kalutara</t>
  </si>
  <si>
    <t>Lighthouse Visit: See the historic lighthouse on the island. | Boat Ride: Take a boat to the island from Beruwala. | Snorkeling: Explore the coral reef.</t>
  </si>
  <si>
    <t>A nice island to visit and take lovely pictures. A light house built during colonial era is located in the island and a 5 minute boat ride will take you there. There are boats available in the fishery village for around LKR 2000 (up and down). Reaching it typically involves a short hike or a climb up steps.</t>
  </si>
  <si>
    <t>data:image/jpeg;base64,/9j/4AAQSkZJRgABAQAAAQABAAD/2wCEAA0JCgsKCA0LCgsODg0PEyAVExISEyccHhcgLikxMC4pLSwzOko+MzZGNywtQFdBRkxOUlNSMj5aYVpQYEpRUk8BDg4OExETJhUVJk81LTVPT09PT09PT09PT09PT09PT09PT09PT09PT09PT09PT09PT09PT09PT09PT09PT09PT//AABEIAKQA9gMBIgACEQEDEQH/xAAbAAACAwEBAQAAAAAAAAAAAAACAwABBAUGB//EADwQAAICAQMCAwYEBAMIAwAAAAECAAMRBBIhMUEFUWETIjJxgZEUobHBBkLR8CPh8RUzQ1JTcoKSJGJj/8QAGQEBAQEBAQEAAAAAAAAAAAAAAgEAAwUE/8QAIxEAAgICAgMAAwEBAAAAAAAAAAECEQMSITETQVEEImGBcf/aAAwDAQACEQMRAD8A8tLlS57J4xYlySCYhYhShCEwWSQSSxKEsS5QlykLliUJfaUjLEuUIUwSS8yAQgJSWVLEvEsLMSypIwVsRnErbMEGFiEEzDCSmFhTDCxq1E9o0UNjO0zWjatmcLGLXNCU+YmhNNx04htHRY2YhXDWua/Y46CEKT0xNYlBmYVwhXNyaR8ZA+kYmisJ6YHzhckhrGzAK5J1x4eAPiEqHyIfiZ87liVClMSWJUITELliVCmCSWJBLEpGQS5MQgJgFAS8SwIYWJEbBAhhCRnHEsDEcljKAABMS0JCnylgTSbHfg4+0ip5zIjASln6Y+s36fR0lP8AFzn5xCxgJ7mRps6QcY9jLtKKh/hniDRpEbl2I+UgZiPiyIYBkSdCbi3dDvwelC8s2YP4alT7pMig/OGqmamW16QdVdSjgc+sfvXgY4EUFjFSRoakFlGPwwlGT7xIEipGqkNCTANS593MtEC9I4IYYrkstAqWjAW9Ya1xq1iBtHRWJySJc0eykgtCpnymEBIBLxPoPlbIBLxLAlgShbJiXiWBCAlC2UBLAhBYQWUDYIEICGFhBZQtgBYYEMJDVJggKpMNUjVSMCTFoUFjAvpGrXGLXMKhIWL1TPTRuWv2jE427iufr2m5a5zfGfaK1QXGw+fnBklUWdcUbkjZRrP9oVLd+DTTEAAhbTYG4yDyOPzj1rifCTdfViytSlSjaQ2MZ5zjHM6a1ek54Z3Cjrmh+9iFrjVqmhao1a/SNyIoGdao1apoWuMWuBzOiiZxXGrX6TQtcMV+kDmNQELX6QxXNCpGBJzcxqJnWuMWuPCQwkDmNREbJJq2Spz2FqfGwIQEsLDCz0jy2wQIQEICGqxUFsALmMVcdoapGqkwRewk5hrVmOVI1VxNYlET7CWKhNAEIJNZXFCBX6Ri1ekctcatc1k1ELV6Rq1+kcEjVrksaiIWv0jFr9JoWqNWqHYSgZ1qnJ/iBWRUNaB3Ckqp4yZ6RapxPH6wdXUpBOF/ecssrid8cKkmbfBQDRYoH/BXnPWb1q9Jm8GXCoqlTuXkHqB/WdYVThilSZ2yxtpmda4xa49a41ao3MKgIWuMWuakqTHvAw/ZL/LOTyHRQMy1xi1xwSGFgcxKIkV+kMVxuJeIXIeosJDC4hgSQNi1BKyoZkkstHxoLCVYYSNWue0eD2LVMxq1xipGqkxUha1xgSMVIxUkFQtUjFrEYqRirMKgURR2zCCRgSSi2m/cKrUs2HDbTnBhckNRIqRq1xX4vTLrRpC2bmHAx1+s3qnSTdCUBS1Rq1Q6jXYWFbq5Q7W2nOD5GPVIXISiLWqNWqGqRypObZ0UQFSed/iOuyzWFaX2WezUBsZxzPUqs8v4/qPY+MIgAbO0Nk/DOOSaS5OsIuzp+DoPxFZxj3W7czo6zVUaDT+31LEKOMAZJ+Q7zD4Vm38OyZXdnGT/AEmnxnw2zxChUFzKi5JRQPePqewnGMvh2mjVor6dZpa9RQ2UcA4PUehmpVnm9FZp/ANNS+pFputpXcirwzDjOekxU/xPrE1V75GprbmmoYH9/ORz+gR7ULDAwMmeZ8d176jw8LRclQcYBDsHLY5woHK/URdPj/4fwhxY/wCIbb7lhHBGOh568GSxXR6GnxDSX6yzSV2g3VfEmOfmPSbAJ8z8Eu/+XZrdTa9OBuV0GTgYPQdu32n0fT6rT6ij2tF1dlY6urDEj4FF2NYqoyxAHqYQwRkTyX8Xh7TpnQ1PpQQc/ESQc4x39Pr6Rer/AIgB8ISiq3BKFWsAwSMfEPL5de/SY26R7KSeS/hrx57dul1VgfPupYerHy48+Zqq/iVE1+sr1bUimkAoajv3HuOPL5SUVTVHoj0knjm/jB7NQyJSVQDIKjJMkupvLE8wqRirDVYYWeweLQKrGKkJVjFWYVFBIwLLCxirIJIpVjFSEqxqrDYkhTVk1OFLAkcFeonmvDL9RTrmSlRWznOD0cD+zz6Geg8R8Sq0CAZV7iMivPOPOcKjVodcmrdlNgbggcf6Ynw/kZIuSSPqwxpOxnjVFuj8T/ElgEYHYqnGB0znsck/b1noPCb9RqNEPaUtuWsEPu4dvIQtfpaddoVFlgqRCHZj2AH6R/hJot0Smh0YD3W2nuJVxPh9m7jVHD8Ep1dXi7aewOMne5b3hkdiRxmesCjgYgqMWkg9VH6mBdrdNplDO5Oc4CgsT9ol+qK02aVWY9Z4z4foHCX3EknBFa78HHfHSeK8b1d1mqtatrD7RicDJOCPy4nPXV3VrlwCvcd1nzSzy9ITjXB9N8O8R0XiSt+EvV9h95Tww8jjyM4XiNGm8S8TsK2q2GBDoc9AP3nn6mBC6jTna2feVSQD9v8ASbvCrK9FcL9RWx4yzAcV9PvOTz7KmdMcW2es0Gyg1EKVVT0E814147brdXauluupqU7AN2AfqJ6DXexbTnTV2Bb7121g98zyT1NobX019bVhbAuRyoGOx8+ROc5/DtKIu/X6jW2JpzlkqrAG5uhxjGD5jEzhEZmN6kAtwSO/GBj0xEJWqe/WWsyG95hnjPGfXBl2fivbqqVWGwe8o2kE+p+/WVv2cWqOv4lq3toFTOoStQpHRhnnknjjoOczm1asJorCiuqjKuoPBPbI+8dqNNYaMNal+74hnGCM+XXymfS+FatkbVUIpHdepJPTjvFFpxuzV9Hrdb+GbTpaq2gZDs3xL/f7zbR4o2j8P/CCzLsefiAGM8EY8++Zzv8AZ2oTXAXWhNuFG/gAeX5/lOkfD6l0dg0WvNlu3DKoOCAeCTLw+UQwPrWsWtWZx7I4XLfr8oOnd2Nenw6iwllY98+kRdXburFlilyc7cA4A+X0mquzKYtqA2glSx8+33zI50g0N09zeG3i1mJy23A6L5xF2roVzYa78tx7uB0/0/KJs1+lezZdS1gBwdj9h3h2XvZYEIP4cAhUbO4+ny7y26D2UrI6s9GosAZskWqM+kkz3JvRTWKKz3UOc/XtJF/pKZqHiv8A+H5wh4sf+iPvOaEP9mFsPmPvPW2PjaR0x4s2P9wPvDHi7f8AQH3nLC+bD7wlHOAc58pdgnUHjD9qV+8YPGLe1KfeYV0GsZDYuluKjuK8ymrarItqcHdj3lK9vUQSzRj2xxxTl0dIeMXdBQnyzGDxjUf9BPvPP6201sjJY1KhipVqicn7CKO9y9ntn2nj3EAP1Hecn+TH0jsvxMntjvGH1Oo8T9sle5rVxtTJ6dYrRpZaR7PhlHG44wM+v1krpsoqZtzkkZYlSCMdM8dOvM25o/BF7dVuYfCU95eSOPy/WfDlak20fZDE0qszuPEbbgxQumNu8EEY7c9O06nhDX6PWNY21bNm0Ix7HHX++859LFGO3Wp7JTlqhWMHPmCT+07um1ehV3NdtW5+oAyx6d+v+k5KenKVsrwKXujcfE9apDMlQxkYAMwaz2Oray6uosxIDlEBw3HGOoiDqfD1Hu21h8llRK+W88cdvOYdZ4m3s7EpTU1grjewJJHcdOkUs2TJ2qLDCoexfj2roNFeagmqQKAVbsPTtMvt6NSq+0tQ8AMzcYHrMt9yFtyaMh1HBYZU/vM/tLzqBeNODYpyPixmOuC8Ps9Po0pqTamod8ghWVd3HQ/KdlPENHpx7Bq8vsKhm+FRgd+nbznh6dXrTaHbQqxLcKDtGfvOi/iuvKomo0pavYNrrnjyztP6mcpYzrGkejOq9qG1Onek2ctWzOuB6icxL71dk1G0s3Jyc/6zjanUWMBYnh4sVuAcklccdpehtINpOi1CMOMhyM/lJ4lRHTZ6zS3aZbF2JUNoOFyvfrx1lPrVy1NtagBFWslM8YA+/H5zzlmqdQooqvTowOdwPGOO8cdd4iagpNa1kZHs6zjnz4PMyjJKrI1A7m+k6cmzYMkZsNePpz1ljVUoq1U+zexgxHszjIHn8p56rx3V6S4CylnzjYVQDb59Bz9Y5vHbGcN+FsssVtwJTbt/fpD430+iOKfsK3WvqlUOcbfgLDnnvk9pnbUutWEbI7E4P9iaKbabKmLaZVJPKugfHXpyMTmeIV3HU7aqw1QHCgbfyziWEEujnKCosa6suBsVS2euevnNdWvzX/iViwDjORxOA9OtVhjT9/8AmH9ZrSrUM4A0rg5zxYvP54jljRz8Y7UWUNqiaQKySM4Eup6nYMNxZSdx3YP98fnKs02suRfaaEOc5wWGPyP5xy6K4D366ks4ZaVtX3cfX1MdcDWOixq6dKxNtILN2LDIHrKiq9PrC5Cabeg/lLdD58STnon2Hxs2og7ITDFfGShx8hH+zJ6KTDFbA8hxPWs8TYQKwedn3xCFA7pj7zSqnPX84YVOc9fpNsZSE1VlBwWXH/KxjNpcYZnP/kePzhqVBPK/PbGC2scAZ+QktC2/opaUQgjP/tDStWPIY/MxgtyMLWc+hl7yFyUPzzI3Evkr2YNXQuWVUVVYYZRwD8/OYatJWrbEqrUegnaO9+WVQIPsVDEhRk9sTlKMWJZX9MRox8IXnrxmdDR7Fb/EwAYQ0xOCEP0EcunyMbH+gmSSF5vQQNG7hl+kW1dRJ4GD6SHCNzU/HfEv2qHkZ+WInFDWR/Tn6nSK/TjmZ/wFYIBZj5YE6jsrn/KUEU4ATP1nJ40NZX9EafQpngkY9DI+lbcoyc+XlNlakdAwx5npAtBBXluc9D0nOeNUdYZmKGkVxhgTnrzB/AKGO1Sc9pq06qwO0sCI1gw6O2f+6COMcs1GP2FqABchc54Mra7vk53E5ywE2N7Ve6YI7kYlJvPSxCfJeZ08Zy84j8PbpqWGnYpnkhZm9hezbmawse7czpWPaqE4U8dYl9SycYJ9QTI8RfLZhXSXDIKjg9dk0Dw4Ee8qsM9hiM/FhnHxAee7p/fE0JcB8SEjz5wZYY0jOTZzLvCMMWrsO08hSIqvQqre+EzzjgAzue1RUyMEMeOIB1COQNylTjIieOPoG0vpyzoqrKydgJHkOPlMraBE+Fs5yRhRxO+4R+Q7bsdN2OIj2Y5B3e8ecP8AtC4fwS/6cg6BsZY2cYBwmeZU6zmutv8AEFmOmWlw6Fp/TlJvZsC1ge+DNCVlficj1zC3qGyuxPzja7LScF1x6CfSeU7foThe7huOmY1UViAOPvDsUn4NvzxA2v8AzFc/OYSSDK1A4bv84xVrHRsj55iTUnBcEn0YARitSM8EgeRmNwNT2W7izd/44jVzzgp/6zKupoQgGt8k9QoxLa7TuPdqU+rZGZBKTGuXPRgB57YC793FnHq0BrgcAKifIYlbwCfdDHzkZNmzUGYLhmBHqYasGwoZiPLcRMocHBAx54jVtrCckk/IGQnAwJVuwO/8rOZPw9Z6qEPmDFpdzkYOJTXux+D6lukVsaZbUofgYEDzzK2EHkgfWV7Rm4YkfLvIoIwVABksqlQ5eF55HoYq3a/JXmUCx789yIO5iSGTE5yfB2jMtAvUd+0aFAHIP2mZQAfdJ56nmNIz8BIkjwNysmFwMD55EhRcA7wo8swdo/mw3of85ajHATbOgbDwm33Xz/3QCi4yEXPcjiGFycqFHY+sE1kA4GM9wM/rNwSxYSvyGemM8CMSpV/4Zz5DEoIB5Y+UvL85I/f9IlRrCNKjIy+D1yZAiDmsEHOcmCWsOMg/lJj3ujY56mUyf9G7RjKk5/WV7453HJ6Dr+8Wti4OF+8iMh/4nPoeJhplOHznZnPPxGSF7TJOcMB3xJJQtmcuurOCRgY8oxSh907z67jDX2QGSxJx/KOR+cAWIvIW75GDY40NaraMoR8j2gsCevUeWZAiY3BM+gJMMAED3Ag8yOslsqaQKbWX3i3PlFe4H/3NjfNuDNY2qQ7WdP8Alx+kNGqu4DZ9CcftJsT9WZg/daipPGNuYY3EbQceu0xj17zlgnHYn/KWS233eB04GcfpLsakJ2k+65xjocS191jtBJ885gkXnqo/SWAy4xVkY6hhI5E0sLAYZzhvSG1Y/lbn0zEB7DYV9kyf/YkczQik4yGP3EmxNAUqGMFm9Tjn9Ya0qnO7efNwP2ENK9oORgfP/KGGXd7pIPzEuxdCsAcHOfU8SNgDIZwB5GGzLyXCkgeUUzqQcE48sTWHUtX3njnyEGxVXhgQe2e0otVjktn0EhsQDC+0IPbr+0jkahO3acZJPeGFUqSd30OZeaiwC7uRyNp/r+0ctSAgipQPsZEzNsSiV4zmz64/pGqFHQH6yyXXPsxXtHlnMhLNw2R36RWEmN3w8kdsQQtigkDHp0kZFGAzdvWKasIMjUn5BZbKWbh0KfPmWH82IHljMraO9mPPMhXcNovCt6xWibBGw4yufvAJLckH74jFotCkbwPkTCFNpTDmtx6Aqf3m2LshaKD8O7ywTnEpkrGC20YPyjvZBW+Egeff+kjotgO1i2PXr9MS2JSEEk493P0H9JI4VA/yEfI4kmtD2OcUwnBP5SxYVCgKpz3lyTgxMXZucFg7JjsvT84KOQq7gGz5iSSBvgSSsfUu5gCTz5YmhalRsgtz6ySRLoVIm1GOGRTnzhWgV1jYAOcSSSkYAfPVV7dpKnNpO4D3WwMSSQMqHMvu4yePWAljhAAx5kkliZjFTPv7jkQa2JpJIGc+UkkRGCta7885I5OesMjFYYd5JIWFhlQlK2KSGPHWY6bGufDHHykklOfs0W4R8AdIZuLVHKrJJCjPspCQ2ATjGYbA+2UbjyuZJIwTEXuyIDncfWLW82e66oR6jMkkRyXZVuUepEYqH647SrbGBIzwOZJIkOSDpy9gyTyOxhCxlfbnODiSSRgfRpW5w+zjHyg6khQxVVGPSSSYaBrVXr3Fec+ZkkklGj//2Q==</t>
  </si>
  <si>
    <t>Baron's Cap or Thoppigala</t>
  </si>
  <si>
    <t>Batticaloa</t>
  </si>
  <si>
    <t>4 h</t>
  </si>
  <si>
    <t>Jungle Trek: Hike through forest to the summit of the rock. | Summit Views: Enjoy panoramic views over the Batticaloa district. | History Learning: Learn about the site's historical significance.</t>
  </si>
  <si>
    <t>Thoppigala, nicknamed "Baron's Cap" for its distinctive rounded rock summit, is a forested hill straddling the Batticaloa and Ampara districts that served as a key LTTE stronghold during Sri Lanka's civil war until it was captured by government forces in 2007. Today the site includes a war memorial and museum, and the hilltop offers panoramic views over the surrounding jungle. It draws visitors interested in the recent history of the conflict as well as the scenery.</t>
  </si>
  <si>
    <t>Bataatha Agro Technology and Tourism Park</t>
  </si>
  <si>
    <t>Farm Tour: Walk through model farms and crop displays. | Technology Demonstrations: See modern farming techniques. | Fresh Produce Shopping: Buy local fruits and vegetables.</t>
  </si>
  <si>
    <t>A nice park which exhibits most of the farming systems. Separate sections are allocated for particular crop categories. A fish therapy point is situated near the entrance. The spot is also known for its scenic views.</t>
  </si>
  <si>
    <t>https://encrypted-tbn0.gstatic.com/images?q=tbn:ANd9GcS3-BO85bHUUbjDexnZKh47MpyxXMKTUo0T53rBgIIr1w&amp;s=10</t>
  </si>
  <si>
    <t>Batadobalena</t>
  </si>
  <si>
    <t>Rathnapura</t>
  </si>
  <si>
    <t>Prehistoric Cave Visit: Explore the cave where remains of Balangoda Man were found. | Archaeology Learning: Learn about Sri Lanka's early humans. | Forest Walk: Enjoy the trail through rubber and forest to reach the cave.</t>
  </si>
  <si>
    <t>Very nice place to visit. Hike is not that difficult and it's worthy. A person in Colombo can cover this in one day. Visitors are advised to take care underfoot, as conditions can be slippery.</t>
  </si>
  <si>
    <t>https://encrypted-tbn0.gstatic.com/images?q=tbn:ANd9GcQ_p_5Z1q3gULUBEAYltjXuQOEnJtzGYiFpuSJylTp5Qg&amp;s=10</t>
  </si>
  <si>
    <t>Beddagana Wetland Park</t>
  </si>
  <si>
    <t>Birdwatching: Spot water birds from the observation towers. | Boardwalk Walk: Walk the wetland boardwalk. | Butterfly Garden: Visit the butterfly area.</t>
  </si>
  <si>
    <t>Beddagana Wetland Park is a quiet and beautiful place that's perfect for a peaceful day out. You can easily park your car and buy an affordable ticket to enjoy the natural scenery. There's no food available in the park, so it's a good idea to bring your own. It remains a relatively quiet, less-touristy spot.</t>
  </si>
  <si>
    <t>https://encrypted-tbn0.gstatic.com/images?q=tbn:ANd9GcTK0Pk2IUnkl38BobHEE5YCD7wuaNtz3y7-92Bf328rwg&amp;s=10</t>
  </si>
  <si>
    <t>Beira Lake</t>
  </si>
  <si>
    <t>Swan Pedal Boats: Ride swan-shaped pedal boats on the lake. | Seema Malakaya Visit: Walk across to the floating temple. | Lakeside Walk: Stroll the lake paths and watch pelicans.</t>
  </si>
  <si>
    <t>Beira Lake is a historic lake at the heart of Colombo, originally used by the Portuguese and Dutch for defence and transport, and now bordered by parks, walkways, and landmarks including the Seema Malaka meditation pavilion. It offers a scenic, walkable green space amid the city's business district. Ongoing restoration efforts have aimed to improve its water quality and surrounding public areas.</t>
  </si>
  <si>
    <t>Bellanwila</t>
  </si>
  <si>
    <t>Colombo (Boralesgamuwa)</t>
  </si>
  <si>
    <t>Temple Visit: Worship at the Bellanwila Rajamaha Viharaya and its sacred Bo tree. | Perahera Watching: Visit in season to see the temple procession. | Attidiya Marsh: Combine with birdwatching at the nearby wetland.</t>
  </si>
  <si>
    <t>The surrounding suburban locality famous for its wetland park, walking tracks, and religious cultural significance.</t>
  </si>
  <si>
    <t>Bellanwila Temple (Bellanwila Rajamaha Viharaya)</t>
  </si>
  <si>
    <t>Sacred Bo Tree Worship: Offer flowers at the Bo tree believed grown from a sapling of the Sri Maha Bodhi. | Mural Viewing: Admire the colourful murals and Buddha statues in the shrine rooms. | Esala Perahera: Visit in August–September for the temple's colourful procession.</t>
  </si>
  <si>
    <t>Bellanwila Rajamaha Viharaya is a historic Buddhist temple on the outskirts of Colombo, believed to date back over a thousand years and closely associated with royal patronage through the centuries. The temple complex includes a sacred Bodhi tree, image houses, and shrines, and it is a major centre for Buddhist ceremonies and almsgiving in the greater Colombo area. It remains an active and popular place of worship for the local community.</t>
  </si>
  <si>
    <t>Birds Research Center Hambantota</t>
  </si>
  <si>
    <t>Bird Viewing: See a range of birds at the centre. | Learning: Learn about bird research and conservation. | Photography: Capture birds up close.</t>
  </si>
  <si>
    <t>Hambantota Bird Research Center is a great place to watch large amount of varoius types of birds. There are thousands of birds. Peacocks and ostriches are living freely. It draws a steady stream of local visitors, especially on weekends.</t>
  </si>
  <si>
    <t>https://encrypted-tbn0.gstatic.com/images?q=tbn:ANd9GcTqbn64dlQi6qH2lV8EctFviri35m2G7yJMudduBJo-bA&amp;s=10</t>
  </si>
  <si>
    <t>Biso Ella Waterfall</t>
  </si>
  <si>
    <t>Awesome place to visit. It's safe to bath. Pure water. It's a popular local spot for a refreshing bath or swim.</t>
  </si>
  <si>
    <t>https://encrypted-tbn0.gstatic.com/images?q=tbn:ANd9GcQ2_UKLZ8jUU_u7gXoe9w3iVw1gNxxEM8lU4a2zFHnSeQ&amp;s=10</t>
  </si>
  <si>
    <t>Black Galle Fort</t>
  </si>
  <si>
    <t>Galle</t>
  </si>
  <si>
    <t>Black Fort Bastion Visit: See the oldest part of the fort, built by the Portuguese. | Rampart Walk: Walk the walls to the lighthouse. | History Learning: Learn about the fort's Portuguese origins.</t>
  </si>
  <si>
    <t>If you are near Galle, this is definately a good place to spend the late afternoon. There are many historical buildings, and it is a nice walk along the walls of the old fort. Inside the fort are many small streets packed with jewellers, souvenir shops, and restaurents. The spot is also known for its scenic views.</t>
  </si>
  <si>
    <t>https://encrypted-tbn0.gstatic.com/images?q=tbn:ANd9GcQOl8xOkqePMFfzSANkoRX3EGnQ09CrtIQkbCDYvKpi6A&amp;s=10</t>
  </si>
  <si>
    <t>Boburu Fall Tracking</t>
  </si>
  <si>
    <t>Waterfall Trek: Trek through tea estates and forest to reach Bomburu Ella. | Waterfall Viewing: See the wide, multi-stream falls. | Camping: Camp overnight near the falls.</t>
  </si>
  <si>
    <t>Bomburu Ella, also known as Perawella Falls, is a waterfall at Uva-Paranagama Divisional Secretariat of Sri Lanka. It is located near the border of Nuwara Eliya and Badulla districts, approximately 15 km from Welimada town. Visitors are advised to take care underfoot, as conditions can be slippery.</t>
  </si>
  <si>
    <t>https://encrypted-tbn0.gstatic.com/images?q=tbn:ANd9GcTMpgYJfOlYzdqOQGQZ8g4n5z0MHwWJ-XbEUjb5kFboDg&amp;s=10</t>
  </si>
  <si>
    <t>Bogoda Raja Maha Viharaya</t>
  </si>
  <si>
    <t>Wooden Bridge Walk: Cross one of Sri Lanka's oldest wooden bridges. | Cave Temple Visit: Explore the ancient cave temple. | River Views: Enjoy the river scenery.</t>
  </si>
  <si>
    <t>A very valuable place in a free environment. There is a cave in this place where King Walagamba was hiding. An expedition team has reached a short distance in this cave and is unable to go.</t>
  </si>
  <si>
    <t>https://encrypted-tbn0.gstatic.com/images?q=tbn:ANd9GcQy9ZHlsYSUp2NV6GaeHq_OlOUqSJuZlWR-cJXg98C5qA&amp;s=10</t>
  </si>
  <si>
    <t>Bomburu Ella Waterfall</t>
  </si>
  <si>
    <t>Trek: Hike through tea estates to the falls. | Waterfall Viewing: See the wide, multi-stream falls. | Camping: Camp in the area.</t>
  </si>
  <si>
    <t>Very attractive place. Need to climb (mostly walk) for around 45 minutes. Not very hard route. Visitors are advised to take care underfoot, as conditions can be slippery.</t>
  </si>
  <si>
    <t>https://encrypted-tbn0.gstatic.com/images?q=tbn:ANd9GcQgDC1uELzxBpCa-jmvqe27pL90koE_H7PG5nMhqX_XQA&amp;s=10</t>
  </si>
  <si>
    <t>Bopagama Ella</t>
  </si>
  <si>
    <t>Accessible by a Vehicle. Located about 1.5Km away from main access road. Amazing waterfall. Visitors are advised to take care underfoot, as conditions can be slippery.</t>
  </si>
  <si>
    <t>https://encrypted-tbn0.gstatic.com/images?q=tbn:ANd9GcT1-TzHbNMfZnxnJd5JgRWiLF4ZP-nEV9yzl5e3y7kE_g&amp;s=10</t>
  </si>
  <si>
    <t>Bopath Falls</t>
  </si>
  <si>
    <t>Waterfall Viewing: See the falls shaped like a Bo leaf. | Bathing: Bathe in the pools. | Photography: Capture the falls from the viewpoint.</t>
  </si>
  <si>
    <t>Great place to visit. This has a large bath area. Parking facility available. Visitors are advised to take care underfoot, as conditions can be slippery.</t>
  </si>
  <si>
    <t>https://encrypted-tbn0.gstatic.com/images?q=tbn:ANd9GcQYl5F785Qfbd3LjAxNFftHmrstm0Dgtj4hkFO3hDuj5A&amp;s=10</t>
  </si>
  <si>
    <t>Botanical Garden in Galle</t>
  </si>
  <si>
    <t>Garden Walk: Stroll among tropical plants, palms and flowering trees. | Birdwatching: Spot garden birds and butterflies among the greenery. | Picnic Break: Relax in the shade away from the busy town.</t>
  </si>
  <si>
    <t>A peaceful garden sanctuary showcasing endemic plants, flora, and lush green landscaping close to the southern coast.</t>
  </si>
  <si>
    <t>Buddhangala Monastery</t>
  </si>
  <si>
    <t>Rock Monastery Visit: Climb to the monastery on a rock outcrop near Ampara. | Relic Viewing: See the ancient relic chamber and Buddha statues. | Scenic Views: Enjoy wide views over forest and paddy fields from the top.</t>
  </si>
  <si>
    <t>Buddhangala is an ancient forest monastery about 7 kilometres from Ampara town, spread across five rock outcrops covering roughly 1,280 acres of jungle, with a history believed to stretch back to the 4th century BCE. Rediscovered in the jungle in 1964 by the monk Kalutara Dhammananda, excavations there uncovered a gold relic casket linked to the Buddha's chief disciples Sariputta and Moggallana. The monastery's monks famously refused to abandon the site even during the civil war, and it reopened fully to visitors after 2009.</t>
  </si>
  <si>
    <t>Budugala (or Buduggala)</t>
  </si>
  <si>
    <t>Ratnapura (Kalthota)</t>
  </si>
  <si>
    <t>Monastery Ruins: Explore the forest monastery ruins near Kaltota. | Reclining Buddha: See the ancient Buddha statues. | Nature Walk: Enjoy the quiet forest trails.</t>
  </si>
  <si>
    <t>An ancient Buddhist monastic complex featuring rock caves, stone structures, and remnants dating back to the Anuradhapura era.</t>
  </si>
  <si>
    <t>Bundala National Park</t>
  </si>
  <si>
    <t>Flamingo Watching: Spot flocks of flamingos in the lagoons (Nov–Mar). | Jeep Safari: Look for crocodiles, elephants and jackals. | Birdwatching: See hundreds of resident and migratory birds at this Ramsar wetland.</t>
  </si>
  <si>
    <t>Bundala National Park, on the southeastern coast near Hambantota, is a RAMSAR-listed wetland renowned for its birdlife, particularly large flocks of migratory greater flamingos that gather in its lagoons during the winter months. The park's mix of lagoons, dunes, and scrub jungle also supports elephants, crocodiles, and sea turtles nesting along its beaches. It is considered one of Sri Lanka's premier birdwatching destinations.</t>
  </si>
  <si>
    <t>Happy</t>
  </si>
  <si>
    <t>Bundala Safari with Srimal</t>
  </si>
  <si>
    <t>Guided Jeep Safari: Explore Bundala National Park with a local safari guide. | Flamingo Watching: Spot flamingos in season. | Birdwatching: See many water birds and crocodiles.</t>
  </si>
  <si>
    <t>Best safari ever! Srimal has a great eye for spotting the animals. You can see that he really cares for animals and has a great knowledge about them.</t>
  </si>
  <si>
    <t>https://encrypted-tbn0.gstatic.com/images?q=tbn:ANd9GcTj_GXgR6AmefG9XaqcRTPQinZN3rNSn4uXfi7sWf4jHQ&amp;s=10</t>
  </si>
  <si>
    <t>Cathedral Church of Christ the King</t>
  </si>
  <si>
    <t>Cathedral Visit: Admire the architecture of the cathedral. | Attend a Service: Join a service. | Photography: Capture the building.</t>
  </si>
  <si>
    <t>It's the Cathedral of the Diocese of Kurunagala (Anglican-Church of Ceylon). The architecture has been drawn from the cultural heritage of our country. The Liturgy has its tunes for chanting drawn from the traditions of Sri Lanka.</t>
  </si>
  <si>
    <t>https://encrypted-tbn0.gstatic.com/images?q=tbn:ANd9GcQlvA9sbz6QBhEQCaQfbbe9-qQgAxxDWBwqBrql-_iSKA&amp;s=10</t>
  </si>
  <si>
    <t>Children park - lakeround</t>
  </si>
  <si>
    <t>Kids Play: Let children enjoy swings and slides. | Lake Views: Enjoy views of the lake. | Picnic: Relax on the grounds.</t>
  </si>
  <si>
    <t>Located in the city of Kurunegala, it is a good place for small children to have fun. Adjacent to the park is the lake. Toilet facilities are also available. It draws a steady stream of local visitors, especially on weekends.</t>
  </si>
  <si>
    <t>https://encrypted-tbn0.gstatic.com/images?q=tbn:ANd9GcRW05Uv7crdPCKfeY0lh5rsX2JLN-SF2WrkMU4lVjG_MA&amp;s=10</t>
  </si>
  <si>
    <t>Christ Church Warleigh, Dickoya</t>
  </si>
  <si>
    <t>Hatton</t>
  </si>
  <si>
    <t>Colonial Church Visit: See the charming old church built by tea planters. | Reservoir Views: Enjoy views of Castlereagh reservoir. | Photography: Capture the church and tea estates.</t>
  </si>
  <si>
    <t>Christ Church Warleigh is an Anglican church in Sri Lanka built during the 19th century by the British. It is administered by the Church of Ceylon. The church is regarded as one of the most prominent and oldest Anglican churches in Sri Lanka and is a tourist destination. It remains a relatively quiet, less-touristy spot.</t>
  </si>
  <si>
    <t>https://encrypted-tbn0.gstatic.com/images?q=tbn:ANd9GcTWJUMKrXIM99mzsHxrC8waA6wpFA7pTeXiANUEWqJWTQ&amp;s=10</t>
  </si>
  <si>
    <t>Colombo Gold Center</t>
  </si>
  <si>
    <t>Jewellery Shopping: Browse gold jewellery shops for traditional and modern designs. | Custom Orders: Order custom-made jewellery pieces. | Market Exploring: Explore the busy nearby Pettah market streets.</t>
  </si>
  <si>
    <t>The Colombo Gold Centre (Sri Lanka Gems and Jewellery Exchange area) is a hub for jewellery shopping in the city, bringing together retailers offering gold, gemstones, and traditional Sri Lankan jewellery craftsmanship. Sri Lanka has a long-established gem and jewellery trade, and such centres cater to both local buyers and tourists seeking sapphires, rubies, and other locally sourced stones. It offers a convenient one-stop destination for gem and jewellery shopping in Colombo.</t>
  </si>
  <si>
    <t>Excited</t>
  </si>
  <si>
    <t>Colombo Lighthouse</t>
  </si>
  <si>
    <t>Seafront Walk: Stroll along the promenade by the Galle Buck lighthouse. | Cannon Viewing: See the old cannons and colonial-era features around the lighthouse. | Sunset Watching: Watch the sun set over the Indian Ocean with the city behind you.</t>
  </si>
  <si>
    <t>The Colombo Lighthouse, located within the historic Galle Face and Fort area, has guided ships into Colombo's harbour since the colonial era, with the current tower dating from 1952 replacing an earlier 19th-century clock-tower lighthouse. It stands as a landmark of Colombo's old commercial district alongside other Dutch and British-era buildings. The structure remains an active aid to navigation for vessels approaching the port.</t>
  </si>
  <si>
    <t>Colombo Natational Museum</t>
  </si>
  <si>
    <t>Gallery Tour: Explore galleries of Sri Lankan history and art. | Royal Throne: See the Kandyan king's throne and regalia. | Garden Walk: Stroll the museum gardens.</t>
  </si>
  <si>
    <t>You need to buy a ticket to visit the National Museum.A must watch for everyone, young and old.The amazing abilities of past Sri Lankans can be seen here.Details related to agriculture, irrigation technology, artistic abilities, creativity, and the last king of Sri Lanka can be viewed here. This is a great place for history lovers.</t>
  </si>
  <si>
    <t>https://encrypted-tbn0.gstatic.com/images?q=tbn:ANd9GcQhuWYAdK92Wax7wa4CHg0DwoYag4AcG0_o0c_6MOTTpQ&amp;s=10</t>
  </si>
  <si>
    <t>Colombo Port Maritime Museum</t>
  </si>
  <si>
    <t>Exhibit Tour: See maritime exhibits about Colombo's port. | Dutch Building: Admire the old warehouse building. | History Learning: Learn about the port's history.</t>
  </si>
  <si>
    <t>The Colombo Port Maritime Museum also known as the Sri Lanka Ports Authority Maritime Museum is situated on Chaithya Road in Colombo, adjacent to the Colombo Port. It is operated and maintained by the Sri Lanka Ports Authority. The museum. It draws a steady stream of local visitors, especially on weekends.</t>
  </si>
  <si>
    <t>https://encrypted-tbn0.gstatic.com/images?q=tbn:ANd9GcRqaXihHzthjMDgNkHAFfw_qyIk3_BrJa-GzyVro8z_jw&amp;s=10</t>
  </si>
  <si>
    <t>Colombo Port Old Lighthouse</t>
  </si>
  <si>
    <t>30 min</t>
  </si>
  <si>
    <t>Lighthouse Viewing: See the old clock tower lighthouse. | Fort Walk: Explore Colombo's historic Fort area. | Photography: Capture the tower.</t>
  </si>
  <si>
    <t>Colombo Lighthouse is maintained by the Sri Lanka Ports Authority and could be easily located at the marine drive near the Colombo Fort. It was my first visit to a Lighthouse, and I was fascinated by the monument. They have maintained it quite stunningly, and it is one of the beautiful landmarks in the city. The spot is also known for its scenic views.</t>
  </si>
  <si>
    <t>https://encrypted-tbn0.gstatic.com/images?q=tbn:ANd9GcQJEpadggR2g5wLB6vDB1PUvciRzpEMIvxmibfnNKpjoA&amp;s=10</t>
  </si>
  <si>
    <t>Craft Village</t>
  </si>
  <si>
    <t>Craft Demonstrations: Watch artisans at work on traditional crafts like wood carving, weaving and lacquer work. | Souvenir Shopping: Buy handmade crafts directly from the makers. | Hands-on Workshop: Try your hand at a simple craft with guidance from the artisans.</t>
  </si>
  <si>
    <t>A craft village typically brings together local artisans producing traditional Sri Lankan handicrafts such as batik, wood carving, lacquerware, and cane work, often set up to give visitors a chance to see traditional techniques demonstrated and purchase authentic handmade goods directly from craftspeople. Such villages support local artisans and preserve traditional skills. They are popular stops for travelers looking for genuine Sri Lankan souvenirs.</t>
  </si>
  <si>
    <t>Crow Island Beach Park</t>
  </si>
  <si>
    <t>Pristine</t>
  </si>
  <si>
    <t>Sunset Viewing: Watch the sunset over the sea. | Picnic: Relax on the grass with family. | Beach Walk: Walk the shore.</t>
  </si>
  <si>
    <t>A fantastic facility for the morning/evening walk, jog or run with a clear view of part of the Colombo harbour. Amazing view of the sea. The facility is well maintained and cleaned daily. It draws a steady stream of local visitors, especially on weekends.</t>
  </si>
  <si>
    <t>https://encrypted-tbn0.gstatic.com/images?q=tbn:ANd9GcRRvIpCIozdxIWFCsj_UMtngrFefEqEDEkZ6bz2SPsJkQ&amp;s=10</t>
  </si>
  <si>
    <t>Dalada maligawa kurunagela</t>
  </si>
  <si>
    <t>Temple Visit: Visit the site linked to the tooth relic in Kurunegala's royal period. | History Learning: Learn about Kurunegala as a royal capital. | Heritage Viewing: See the shrine and remains.</t>
  </si>
  <si>
    <t>This is an ancient Dalada maligawa and ruins of king's palace of kurunegala kingdom. It is still a doomed place. No attention from archaeological department.</t>
  </si>
  <si>
    <t>data:image/jpeg;base64,/9j/4AAQSkZJRgABAQAAAQABAAD/2wCEAA0JCgsKCA0LCgsODg0PEyAVExISEyccHhcgLikxMC4pLSwzOko+MzZGNywtQFdBRkxOUlNSMj5aYVpQYEpRUk8BDg4OExETJhUVJk81LTVPT09PT09PT09PT09PT09PT09PT09PT09PT09PT09PT09PT09PT09PT09PT09PT09PT//AABEIAIoA9gMBIgACEQEDEQH/xAAbAAACAwEBAQAAAAAAAAAAAAADBAECBQAGB//EADsQAAIBAwIEAwUIAQIGAwAAAAECAwAEERIhEzFBUQUiYTJxgZGhFCNCscHR4fAGUvEVJDNicoIWU8L/xAAYAQADAQEAAAAAAAAAAAAAAAABAgMABP/EACIRAAICAQQCAwEAAAAAAAAAAAABAhEhAxIxQSJRMmFxE//aAAwDAQACEQMRAD8AUkliZFxqZFbSzbDIOeefTf5ioWVYpQykldPl0n2vmP070BONFAHGDpJIUnY5G+ai0ZIyxkBVWwxYtsBjqfnXKpp8HIlRpxSTXERi1Npb29tKjkfy2rrixZY3aGSPhkkJrOQPTuf7tSzZ4fEtkAhIDYUBTj+/nVY7lhIZJPbztnYqcnlVG4v5Au2Z6288UqpJG44ewYg6XH7DaiiVwBvz3Gk5OM75rauEsp4zFw0WUJqXI/8AyvtAbjb0rIkUo65WI4XZ1YYZT6bEbY50s4Ju+inISHDwa4tRdMmRcY2HLHrT94pWNeMhbUNWoeUnI6dxt2FJQGOG41l1U6ORUBTnG471d7mHLSMwZUGEBAxjvg/GoOGRNvYUK8WVMhZZAMaen13+nWrqyzMw4TalbDEHcHHf+KJGymMiIOQOunSV275P55rhJG8R0xvK+oEM0mn/AH61u6F7FUhnW5WMQjSebg4z/FMOpR2aOJmAJYqp9kdck8/lTkAWVSTI4VQdsebIOw+lEitx/wBcLhWBEgYZPL0rVK8DALKdhcRu6AgKQ2CdjjAOPn9O9NSW6SlGIPEVtSsFGkjHID96X0cHxBVgCso6jmR291HYtx45FOgIRheQPcA/v2qkW0M5dHCwktbeSaNl0yg4dsKR69cdBty2rMnW58Tu7e3tkJiA+9YtpwoOWJIp7xW6kmgFuhkCrk7Pt33xQ7G2uFlPCBdyvmJXbG2PhTRpSwGOGOWMI0zOWjSNTgiVdJk/7vX41Fr4IHRZCqI5lOrTjcdOVM+KtAiy3VzdINJ21gYJ9BWBef5HcXBFtYzRQ6sappG0geuf2qulurjAUm2eku7nw7wWPizHSDjy4ySxGNhnf4Ura+O+KXz8Hwux4ETthJ7nI0jvoH61gf8ADPDTKLy5/wAjuZ7xN9cMZYA46HBI+dalpbQG3V7b/LbmIk7pIyZXvsetdUaY6VGrff47Hc8P/iF9d3MspwZS2hU9y8h/FZk/+JyW84e2utPI6kJXSeWw3Jz2zQWkv3lki/8AkrXAGAoiChn6dMb8qbi8NnlgW5nfxF1RypiecpnPXAxtk0yTDKVGLdWcwvyl/Jc3oiRSRqyRzwG3236V6ZfFljt0T7HcxjGhgsWynnprP1pa3EqWtrpifAwgOx6nfriuur8QtxRGzkxlWQE+UnnnHPb86WU4rFk35AbY6bRytvgtIyiQOo0ntzFUn+74LafvGGXU/kaIZ+Fcxsqo0e+FU6ip6dPqa6aae6mXjGNjsOWDjHU/3nUnTXIJehe4ZNzAg9ob45nv8z8qorvGCDzPc88VFylxqLRNhAQA2QAPTH7VSUyI5EjHhMuCqNjJ9PjUdik3bFyEuGWQKMFnxltDDOD1O+1cz4ZGMfDZ8ZAGynqfyqLRo4omJYmXfWmDscDHv9KZZhLEszAM8Y82x2HU47U1JLA6tOkIy7FGi0lcY15O+9dVThnEKrnQDqHIZzjYfSuoJ+iiiyscSHCy+y22ssAffVnjixHEGgEbIQdLAlyOpP6UrfyyLhdUbB1/Ep3yO/SotV+6UvtIDgEkbHPL3/CuJXVsjVjLz/ZZNMbEqQGJPWrXE8LxrMOEzgk57nFCk8yBy4G5UEHJ+NdJAqYVGGsrnzbED4VRZGjGMmQHmeZxCGdFfqPZ3+Y91NvG0jkQ6JZMBWCupHLcjJ35fSspLVbWMSTy6Z9WVTUAMDJ32Pw5U3ayfaNHAhk4gVG3GkHcdeh9Kr+cCuuhS6d1uCjeRCQAcjST22PpvQb1uIpcho5VGNK8mXbf4ZrbvLd+GitAja8lQy6dZz17Hf61mN4hG1yUmhZEjUBxkkp6Z/imTQXLhIf8MEgtwXMYIGlFzr1fDkPlTsMiokn2gkZbA9T/AHf5V59LqM6mhhEcYXYtg4HptTVr4gTMryHLA4VmGe3T3VOei27Qjj2eh4PHhchBxVbnpJyDz9Ca4suNEkjDpkDAx60vb+Jqsiwqshy5V2yBp9/1rRuTFcw6iWGgYXBzjHQ1NXwwpiypE9/HKSzcMFW07ZBH+1HufJbPw2OeYAO/5UlqaQbHT/pJbnj+mh3fiKwkJqJXmWPNR1xVHFh+QNlkf7w4ZWOCuojUatHcuysuWVgRtnG4611v4pHMzqkYKgeZsYIz3FAE3DYsuptWRy5e/wClB7oAaoNH4S/i1ykl+xaJfYUP7Xpv0r0Mfh/h3h4T7PaRJkdYwMH1J/WspJCyZYMuoc8/SiQTlSftM0zRqMKikHFdOnqZApt4GjHGb4PFMscLox/Dzz27VVJmDyOwjKLkBtA3YDnyqZZvD5lfh64JBHlQBhTty/P501YOtvDplduKw1AE7Y7Z7VVNSyhkvsz2luJQVEhYtsyiPBHaqXF9OoNjAGLjdm17H49fdWpfeJKREtkukkZLFcY7bV524kuGvjNdLK5T2GQDIz17dMfGpbo3XYHFXyGA0QiSeYlCT93rAYbeu/SrWAhkm0JAHVVZmDA69/Tpv37Z60tCHuIJ2nWZZGfKk4I/ejR644hGGIY4AbONhn9zU0kmMnTC3ELR6daR8M82jcHOM9vU8ztWbLKZJmCxogAHuPrnrRyzGED2VORjH1pSRjhgcF9PJhQm0uAXbLBoIkDu4Zh0AyB6+6mFW1vGjlkuIrZSNOhFwQB1I7nekY7YSNqwcMcbdN+fyqJknWbh6C+2rIwTpHehGa20HCGpzEHcKzSrjKnmfl0rmmVIm4GMMPZm84Ox6jB+H7Uu2vhAqMl+eBjH9/Wq6ZFKRDOo/hztj9KD+kBXeBaNpUuT5DlE0LnPs5z8amrzOYXC/aHO2cKu9dVYrBXfIhLhhDHFHpbBy+2rPPA+tXjtMvx4ACFYFhy+O9Wy2CCjMyAkBQBntXW6unE8rI+2d8c/6a5P0lGQtAq85JNBI232Oaqzyvb3M2rLeypXbODjP970zNG8cAUqjKDldR5fvVEAHhrMAoZm3x796eDyx9N8sV8IkWa5xeIHGklAwUqe+dRGOnKvUws+NGliqJhWXzMB0OeteOs72SxnklhGhlICLjOR+3LlXo45r6fw5ftAMc6Yd3xp0qRkny+/pn502ohJQfKNO2T7OhjZ9cW41cmHf8ydqBN4cjI4TBSQgtHxCNRHLPpWdB4gZtTRyrpjbEkiqTudu3xrQN00EbyTXCBFcR5QajESB8zy2pIppks2eXuDNZ3nBe14GWOQrbHP6UKJsOS5GAeTJtzovjF5JeXCyTyD7vZI1Gygnp3pe1t5LqM6pNDqhPmX2iATjfbNdaeMl18bZpWM66wkgAQZYlDsCOv8VtwX1rPHI3CIcLjoykD09a8rbQmGWQlwXwAp1+Uds46ctq9HbNClq07tJJhMsoyR8DzxU9SKYtZwDVIIi1xqdk5rnA83fb+71nTXZdwiRgg+zt8v3p/xFfuhwFcFhqCHbc/rSkFncO5jkjHEbBjQc2PPAz76Ct5Fgm3YWBEjYJldenc6celNwRqjAE6G6Z2JqtrGDHG1zHm4RTqCHOOg5dvTP61uPf2HiTRW8cTgxqBrxyPvoOFptse1ywcbEwhFiBBPPt86DcIiqPZ1LuWFUFvdWkza5DLbkZGvJI9KkRcfSVwFwTgjf/ekVoTBQyKGEjsfMNx2qXllllRoyTHnc4q5siRoWYheeScHvtQHdEk4YVwse+M5yaaWEag8ZPEaOUlvLttz5Vcxo7HSzaticilmMjMGXhgjfJ201DHhnizAnl1GN+o70IpcmaLthzhuf4Su+rfrmgHUdxgk9KmW6biELpbOCMDuM57UC5fVNn2Qw5b7Ej6+78q3ZkElhm14mkRFPM8yKoYY3AWKRfKSSxXn7qqkrHGlHkx35USDU8zPJkEHKB+X15fzWGWCrp5l4SSFuZyeZ9KErTOxiSJmLMQSDnpy/KnVQ4a7dkBKkIxJ2G/LNWtblp41wAvDbzKBjUvUnv8AGp4TMqYoytbRqZYyqA+Yld+f8Ypg290IOKGGknPLOn0zV7iKOWOOCCVv+ozYbdVU/oe1aFzc2y2scEPDaZWDN5dwDz5DB6/Wn3XwOlE8f4oklvOro2OIMkkYGa6i+MSF7sRXILhRqQEjYH3bVNUi3RRSroiO7Im0zIyyHO4x/OOlX47cMtLEVBBAGTzpJL8rISkCauwXAJNFEgEINxJqYt5lA2C1KUUQS8hmCfdS2lQfjtyxTKXEKQq0kavEzHCBeY7AdDWKwaBzCrnUDtvuR/TR+JLc+RM7dufvwOlNGFFYwpMJeWrXk0b2iRiMcmyMrjnt/TWf4r4jPxhDZyzR2yRCFd/bUDfPv51vWljHpuE+9AK6HGvYjfljkM15q+tmgZo3DAjlvk7dKrGmMviVs/Ebi3ZzC7qzDGQ3PpTMDsMqjRyEsGKb4PvpCBC7BgcjOMdjWs6W/wBnYcNhIxGB0U9TnrRfJNrJm3B/5mTy4yCQM+zWhAgj8PLPcDW4AAPf4+lJO5MrK4BI2DdR6ZratIoTZoNOp5FPQbdvyrN0impiIhNcEHyCMPsTpGDjOMb9+dei8Mw1sA66UKZJJx1rzatIjujwiV9WxPLNemSG2e0aOOQxKI8yaiPKdv2rSliiPaoUuIVimOhxImcGU7r60e2hmsL8zTBn0A6G1c8/3GKYhPh8BS3QGVAQ2tmBHvNIXknCujFA54QbONXL3GkapZAo+LsaQQRxMyyklsFVA60BhIsRvIo2TBGUI81F8PuYhCZJZRG5ONLnZjyB9DTc/i3/ACzRCQDVsGXc+uc1rSYMZsSbxB5I42eVw5X2VH0phbrUdZwSBkgjl696SQrrZDkruV1YJ9+9WmlUeaJVyfKdXbvtQeeApI0I7pfMUyp6LjY/E1AMbniJiIDZsrnHwrKjmczLHqGCcKOePdTytjK7DO+DStVhgYzJGrxmNGHtAFlGTikJpJo2+zalwRka8AH40xbOZGLu5KrjSpGwPf1qS0ZjbixoRnYA5K/E0bNRnubtSpK7bKVDZ/KjZkZQAQ+SMnH6VAiXh9FAyNKtlj0q8ag8RmdQNuWfhvW/A0kMRQoxRWXS2nIA69zn3/pR3klSQIVEjKO/tms6K9C6YpIwhYYGrYirRSspN0rHBGCJAM4/UbUskZnSvOztFJGFU7gBOW2dj0qiuiJrhIBjUBm/iivfRMAiIGz1Xv1xSpaLmFycH2etHaqFeQoulBZQJJBIPUcuu3v+tCed3uddvpZ5BjIGMDarW9y6oY7d1QE4JPMen5fSqkzzDhxjUBuTnYDHemSoFCskUhmyUBYLgkYNRRpbnR5YdBPUnc+6upilSMAqZN0ckbYGN6OTIwMfmAGxGc0mGzC5AOqMD6bVp+CKbmVU1HUuWzn9Of8AtR22U220HnYi2LuQGbAGTywAOVSiLbMU1snkEnEB5HHalfEJtbsgG0R0EDvj981M1xmwtHfc4ZGBG2AdqFD6ltUbHhU8hkkglyq6cjA258/rS/jloQglQN5j5t+Q70D/AB0s1y2c6ETHv3GP1rYulafwyZVyGGfzrcM6NLTvRPLeHw6J9eknB79ffTcaJJkey2rf6ZqIQJGGsEAqclV09D2rrKTU8kjIBhcbjkc07OZJtqwIhzG2kYxlvlWnau0TRMhIwqnb8/73qiQnQ6gY+7bb+++rXIEd40AkaIwqnLOT5QdqVeRTXXgNm6QNlkUqOeBtt6dKKLpDDI8PlwMgZwc5/mk2mj4qBNTSHAYsNixHTFU+5jsLtlwrDB8hJB3HelcGjljF2OwRwTtDI9syIXwSo8rH9aN4nawaXFvoBXTjU2Adjneg2RdYBGG8qsuD8T/NUu5pYpsAFwD5hkbbc8Gnw1k6p6dQB2Fqt5LlmCoeTBc437Gr3bpZNo/0MVKgDYd6Yt5IY5ERSUVQNaryI2z8av4YI7jxB3IyC2N987etJGNkIw3Ga80cshiZgDzQjbJ70O1CmV45M+by62Owr0U1hbNDKWjXKQysCB6bdK8ktypVUJGNtJqjhWDOFGwdFrNuQwc4yu4G29GfEoDIcCPc9fp7qQR5UiVyBw1/GGyM55YqtvLiV0J3Y4Qg5Byaltt2LtYzPDomKEvgb8QtjPwG1MQyyMgDuCFGAc5J9aHJBkshCsoHQ+vPHwqqIqxpZs7LxJNwo3HlzQflwZjcSpOhMiI22xIGW25CkL23jVfOGLFscLqw35HftQortob0xwz8Qq2GyDsNuv7US/d5ZE0alAbDqrA6TjA59c/maZKhmmCitIFciVODuoUEbE+n70+ttCkYWOVGPIq2wJpWBjPCJeGzQx7ghD5sjOe1EMqJbM6x5K7EHGcn8q0ibR0aqGZhpY5AA5Z+Qq7q8qgomwONIUN7+uaYmFvGsbwx4ZkBYvk7nsDy55q9rZiQcQXSQtqwdS4z3xUm32MkhI2SmVw4izEdypzn0okLFVMqOYY0BAUDOT7uXx9KJLdPDczsOG0SMCQfa04+frmiLE7qtxINBAOpjuO+2/5UafI6j6MS5hSV1eRmQMPwjOcY3xXUx4uIJSn2XU4XpuDy9K6mKKLPNRqZJLiM51NG2OxIwa2/8RT/AJee50+cyBVI938msq1ThXMcrZyGyeXWvR+CNFZeDvoJOS7HUMaedVbKwhk88rcSe7UqHGJGG/8ApOam4LSWFmgjLO7PpUczvVrSIJM2gsTwXA1HGWYfua1LZo4FgLAcRQcHqBneixVDOR/w21Xw6yETEGdyGc5zg9hV4pdM7xEjEmrbvzqqSiVwZ10rjIA22HX0rOu5ysqSLnynbJ9aXs6l4xo5sLKSo8qqRjtjaqWsUcMukupWWQH4Y/3oUM/DmlDr94kh2A9oZ3FNtChjCalLLuhPX+ina6IJ9hkbVJcMAd0YADpmmLiVI/EhLFFC+uNCxbnyHUnAHwpHEimQoN8eZTuf5FTeFSRJKBodQfd0Az8qWHiykoqUTXUWVxb8OSC3HFJwVOSCdvLgc8V56/spfDbK5SRmeMsgjkx7QDEc+tWiu4LJgY5wik5wFyG95rUW8juPDDDdQ6oWGnIODvk5BPuFWk4tENjDWKaoxgjfA58udKeIMUuFxp1OxG/UU34bw3i0lih2yAuc86p4nHFHNETFHM3mKsxK6R7v1qVYKSpraEtrPjxyTSsoWMHSF2Occ80t/jrs9zNq6tjPw/mpikmt4+I00SJoJcbaQO2c88CieELb29wghBOtdRYtnUxXPyoxFjBRRsSNmC4z0gk/Kvn+YmhGEdxnchDgcute64qcKYB/M0L7YI3wa8PPJKgQOTvjGrkaaQso3wFtWVFMTphh7LFiCPh8q27ORGmmVI1Iij1alGDuMVlCeOa3byYZccvf2puymMIwWAM7hexwBz+ZFTEUHeRiSRlXLMPMw1EHOd/786FdSkSwJAAGOog888uvxNAvYmeQFZdUm5KAY5Afn+lUgeSW/teJEokeJwVI9kDG/wBKWMRXptyCWUZeeVjFLnXnVj574xW4wxYlSmkEnUwTnuevKkYpA4GseyM4J5+lHkhktn12k33e5LE9eopqLfyEHvIl8NtI7RZThPMuxwMDHTFKwo09wqhikB21cse89vfWxPFHcDFxHGZU2BUEbdaHPcw23g5CIM6Bhj1OO3ekbohODTGrKGS3tZYynFAGWXOo7Y27mkfE/GsRPbxW72ug42bOdtxilYozc2GtNazM4xp5N0yTzGKz7jwW7N4YklwvVzy69K0a5YqidBfPNd/euzNIugnl0/itO58anNqDrljTVpGB6dT8PzrCt7Jl8QWOSQjRHxTheWOYrWPhU5QfZ7kqTIxCscj0+FM6GasmzkSV347YYdQd66gi0uorqWQOpK4jbGwzjO2aijgol9m63hMerEioB1KgA/lV1gUWf2VYZFTGQSRvty+W/wAKavJDaqrONeRuqgjNPPcQ/Z4tUgUSAY8wONqyiiupLbKjDn8IiNpJiZ4ZSDpVSN+3TlsKTs/C5IY41vTG2jPkV8knOe2PrWvMkLXLl3Vo1CkMSN+mx9/60wEtixVCoycAagMZA9aekKpC/wBjsHRZ5NfDJ0Oc7ofX0pXxHwaGaRVtJ0EeoEhmyR7qeuiLZlIfiRuhUIU3Jx05bV5BZbqO+lTSRq9kkcyoG1HAbZuW3hfhsvi0zyO+qZBvGdgeWfp+dCfwm9VAuA7xtgFWxqXPT3UpFwby2haaJo52YKcsQwJ5MMcxXpvD7aW2sY1llaSXmzOcn3UORoLOTHmt721bi/Zhcgb6dOce6imGN3XXbzwh/NlVOnJ3wa2tLBs5QZ99X1KNydqXZmy2xXZmSeDW6Q8SWQLEMHU74AJ250pcW6x2jpZASEBSmhw2+d/TGKa/yJ45PCJYkbUxZdhvtkGvN2Fk0sJCNgK2M564FaqeRZLpI1Ib5bMRQyW78ZUGTts2c4ppLi2vMSXdsxBG2ojn126jOKy18OlQDUSzA89VdweCn3iNw3AWQE89x8qa1wIoNO2ent7bw37Pq1Jq5kADn2rEkmKeIiQWhhhC4CjGSe/agqkH4LQMOWddBuESRSjWqICNJcPuB6VqSyM7ao1V8QglmjDB8E6WJAAA5H9adNl4TKGxcx+YYIJO49RmvOxWoYMC2BvgZ2GaPLBmHQroV9TypZNMMISSwbLeBWQ/6YjG+dhVJPBI2xlk8vLnWgmkRJkH2e1T5TyJpGV2GOfBTqOWhkzsAQRXL4POoQo0MWkDKxgYOOmeZrYwO5pbxCUwWMjo5DkYXbOM1gPTVGEJ4CsqjyA7cs4Nc5lFu3mXRkkgMVxt+dL4dZNSAuvYqN6JGGYZdGGN9zn9aeiVMYjdZlGpsgcnbmfWji2hRcfYZcHykCUftWekzQyMOEjhSNOpSce7etu1uZZbVZGGon2vfSyVBjHdyhYR28cYSK0uosHmApHrUm2tRIZF+2Bm3IMYpk3LjoBVftrr1A/9anQ/816POXlnd/8AFZbiGGRoyhXJ58u1aMaTMmoFEJJPmyMb1opfkZDnVkdsVSe/VIWZVkkkAOlcczRyTegmYF1NLDJIZBpRn29Tjn7q6l7uS5lMbXUWogHOBjcnNdVUkJsro2rvxGO6R40mkD5wC48oPUEetJ/ZZicJcQqOoNMTpG5LWo0zZ9pQAG9cUqtvMgOq3LHOSQcf3rS1Q3yyyWs7kahJIuAQMoTt8D8aPA8sVwgedxHnmozg9vSht9oliKrE42/Hv+1EtLd+E32nUuk8gMbd61h2oce4QbmV3UbIWO49OQpQYkYMSSQSQABmjtarIwzLHpbkud6IlskTElgNvpQbCo4M9InjYvBGFcH2juab8PuXiiPHdtTnOc5oizZOI1eT/wARz+NNWSS8R3lgCLjygnzfGtdjLTsF9rm1koHO/VKuLq81aSj49E/cU5zGfKB6VIIArZG/n9iw47e1Erg9SoBFWWzthnEGnJyaYWQHYhh6GrHY8se+juHUBcWduPw/U1WSwtJVKvHkHbmabHwqSfStuQ1Cq2NuBhYx8TU/Ybf/AOtaYJGewqaNo21C4tLVT/0V+VEVYl9mMAf+Iq5GajFC0Gi3EJ71YOP6KCRneowe9AwfK/6RVZYYZ1CTJqXnihAtnbnVg2/mJyawAZ8LtMHShT3MRVW8Lj6SOP8A3JpnJXnvVg+Bvhfedq1AoQfwwj8cmP8A1/ai20L28eksWU74wNqb4iYJ5AdxiqNdWo5zIB1yeVBo10VIU/hoRiibmtFN5bhtPmPqBt86qLq2l8ysVA55T1pbQdyANaxHlmqNaRjka0BGkg1I4I9Ko0I9ocsc6NGM02seeYrqdNvk966tTNSPJlpnn1GVBvybYY75p9fEZY8ASQYPqTn44rQgRSACoO56VS+ijSFdEaL5xyXFOzlin7M17yeTWzSRgH/UxHy/mqwzskuW0SEb6y5wfTl/c16FI0wBoXGO3pTaRoAvkX2e3qaGGPT9mNarLcprVI0CnGQC2fdypmOxVxmZWk6aWxj5VpLs222+NqhNthy3rUPFAUhVECxqqj0qzRK3PBzzGc12diaqhJByTWKJFtCYxoyOwrsxI2cAE+lQ2w2oT86wwbI/Dy7b1JYf6aApPc1bJ71jBdXpVS/P0qvSqdTWMFBU7jFTnIwaEeYq67E47UDE56Yqc96j8JqlYxYhcYG1Qo1KGU5B5YqD1og/EO1YUjhnqanR/vV0AxyFSfbI9KJgYUaSMVOD76t+A++uP61jHAEYwu/el7qKDgTSTxK40ksGGdXv70eTYrjvXPupB3GOVYzWDyAvZuIArRqNYACgDHQ/Lfr0FWeZyNK3MOzHD68Hvy6Zr0UcEIiQiJM4P4R/qq4gh4h+5j6fhFGl6Oan7PLx3l4nnW9VWGxGcKfX3bfl3pweLXgjETXNtqJPn1ZYD5YrdEEPDU8JM7fhHrQ/s8Hn+5j2/wC0UaSDtfsX8JvJ7iErKVdkx51bIP8ANdTyoqIwVQo1cgMV1BlksH//2Q==</t>
  </si>
  <si>
    <t>Dambakola Patuna Viharaya</t>
  </si>
  <si>
    <t>Jaffna</t>
  </si>
  <si>
    <t>Temple Visit: See the temple marking where Sangamitta Theri landed with the Bo sapling. | Coastal Views: Enjoy views of the sea where the sapling arrived. | Jaffna Peninsula Tour: Combine with other northern sites.</t>
  </si>
  <si>
    <t>A sacred port temple where Sanghamitta Theri landed with the sacred Sri Maha Bodhi sapling over 2,300 years ago.</t>
  </si>
  <si>
    <t>Dambulla Cave Temple</t>
  </si>
  <si>
    <t>Dambulla</t>
  </si>
  <si>
    <t>Cave Temple Exploration: Walk through five ancient cave shrines filled with over 150 Buddha statues. | Mural Admiration: Look up at the painted rock ceilings covered in vivid centuries-old Buddhist murals. | Rock Climb &amp; Views: Climb the stone steps up the rock for panoramic views, with Sigiriya visible on clear days. | Golden Temple Visit: Stop at the giant golden Buddha and museum at the base of the rock.</t>
  </si>
  <si>
    <t>The Dambulla Cave Temple, also called the Golden Temple of Dambulla, is a UNESCO World Heritage Site built around a large granite outcrop roughly 160 metres above the surrounding plains. It comprises five main caves containing over 150 Buddha statues along with painted ceilings and walls covering some 2,100 square metres, making it the largest and best-preserved cave-temple complex in Sri Lanka. The site has been a place of pilgrimage for more than 2,000 years, with the earliest shrines dating back to the 1st century BCE when King Valagamba took refuge here.</t>
  </si>
  <si>
    <t>Dandeniya Wewa</t>
  </si>
  <si>
    <t>Reservoir Views: Enjoy the peaceful reservoir. | Birdwatching: Spot water birds. | Picnic: Relax by the water.</t>
  </si>
  <si>
    <t>You can have a bath in here. But do not go to the middle deep area. There is no proper place to change clothes. Visitors are advised to take care underfoot, as conditions can be slippery.</t>
  </si>
  <si>
    <t>https://encrypted-tbn0.gstatic.com/images?q=tbn:ANd9GcS1cketaOneBziSau2PIrVjKV_D_je_6L4lOpCo0PpXAw&amp;s=10</t>
  </si>
  <si>
    <t>Deduru oya dam</t>
  </si>
  <si>
    <t>Dam Viewing: See the dam and its spillways. | Reservoir Views: Enjoy the huge reservoir. | Photography: Capture the dam, especially when the spill gates open.</t>
  </si>
  <si>
    <t>Great view. But hard to see arround if you go there in noon. Better to go before 11.00 a.m . It remains a relatively quiet, less-touristy spot.</t>
  </si>
  <si>
    <t>https://encrypted-tbn0.gstatic.com/images?q=tbn:ANd9GcTbjy0ByeT4gFmK-BUcdpS9DGtVxgHSOQj6_y94tFvI1A&amp;s=10</t>
  </si>
  <si>
    <t>Deduru oya resovir park</t>
  </si>
  <si>
    <t>Picnic: Relax in the lakeside park. | Reservoir Views: Enjoy the views. | Kids Play: Let children play.</t>
  </si>
  <si>
    <t>Good place for relaxing in a evening. Better to reach there around 5.00pm. You can stay till sunset. The spot is also known for its scenic views.</t>
  </si>
  <si>
    <t>https://encrypted-tbn0.gstatic.com/images?q=tbn:ANd9GcQ0MIUspIgSOmIsbV4kgQiX7nEFBsX6TM_RJ9LTEnMJPA&amp;s=10</t>
  </si>
  <si>
    <t>Dehena Ella</t>
  </si>
  <si>
    <t>Dehena Ella is situated on the Rathnapura-Wewelwatte road, hence is closely accessible. During rainy season, a large stream of water gushes down the waterfall, creating a dreadful sight. During such instances, it is not advised to stay close to the waterfall as water could bring down debris resulted from heavy rain. It draws a steady stream of local visitors, especially on weekends.</t>
  </si>
  <si>
    <t>https://encrypted-tbn0.gstatic.com/images?q=tbn:ANd9GcQbgiWaAii-rLTVl6ZNNJNWExUfcLonWEuAEGkB_oMWmg&amp;s=10</t>
  </si>
  <si>
    <t>Dehiwala Zoo</t>
  </si>
  <si>
    <t>Dehiwala</t>
  </si>
  <si>
    <t>Animal Viewing: See animals from Sri Lanka and around the world. | Aquarium Visit: Explore the aquarium. | Butterfly Garden: Walk through the butterfly garden. | Feeding Times: Watch scheduled animal feedings.</t>
  </si>
  <si>
    <t>The National Zoological Gardens in Dehiwala, established in 1936, is Sri Lanka's largest zoo and one of the oldest in Asia, housing a wide range of native and exotic species including elephants, big cats, and reptiles across landscaped grounds. It is especially known for its elephant shows and a large walk-through aviary. Despite ongoing debates about animal welfare standards common to older zoos, it remains a major family attraction in the Colombo area.</t>
  </si>
  <si>
    <t>Dehiwala Zoological Gardens</t>
  </si>
  <si>
    <t>Very good zoo. Heaps of different animals amazing collection. Destroys the auckland zoo to bits which is a bore feast in comparison. It draws a steady stream of local visitors, especially on weekends.</t>
  </si>
  <si>
    <t>https://encrypted-tbn0.gstatic.com/images?q=tbn:ANd9GcTQtJAow6EblLqR7pVqppndDb1hFxcwfNqJT89iZ1pHXQ&amp;s=10</t>
  </si>
  <si>
    <t>Delft Baobab Tree</t>
  </si>
  <si>
    <t>Tree Viewing: See the huge ancient baobab tree believed brought by Arab traders. | Photography: Capture the giant tree trunk. | Island Tour: Continue to Delft's other sites.</t>
  </si>
  <si>
    <t>The baobab tree on Delft Island is one of only three such trees of its size in Sri Lanka, a species native to Africa and not naturally found on the island. Believed to be several centuries old, with a hollow trunk large enough to hold several people, it is thought to have been introduced by Arab traders or by the Portuguese, who reportedly used parts of the tree medicinally for horses. It stands as one of Delft Island's most distinctive natural landmarks.</t>
  </si>
  <si>
    <t>Delft Growing Stone</t>
  </si>
  <si>
    <t>Stone Viewing: See the stone locals believe keeps growing over time. | Legend Learning: Hear local legends about the stone. | Island Tour: Continue exploring Delft's other sites.</t>
  </si>
  <si>
    <t>The "Growing Stone" on Delft Island is a natural boulder that local tradition holds gradually increases in size over the years, a piece of island folklore that has become one of Delft's minor curiosities for visitors. It sits alongside the island's other unusual sights, including the baobab tree and wild horses. The legend adds to Delft's reputation as a place of unusual natural and cultural oddities.</t>
  </si>
  <si>
    <t>Delft Island</t>
  </si>
  <si>
    <t>6 h</t>
  </si>
  <si>
    <t>Ferry Ride: Take the ferry from Kurikadduwan to the island. | Wild Pony Spotting: See the feral ponies roaming the plains. | Coral Stone Walls: Admire the unique fences made of coral stone. | Dutch Fort Ruins: Explore the old ruins and colonial remains.</t>
  </si>
  <si>
    <t>Delft Island, known locally as Neduntheevu, is a remote, sparsely populated island off the Jaffna Peninsula reached by a roughly one-hour ferry ride, notable for its coral-and-limestone Dutch fort ruins, a centuries-old baobab tree, and herds of wild horses that roam its flat grasslands. Other sights include a Dutch pigeon cote, the ruins of ancient stupas, and a natural rock formation known as the "growing stone." Its remoteness and unusual mix of colonial and natural landmarks make it one of the more distinctive day trips from Jaffna.</t>
  </si>
  <si>
    <t>Delft Wild Horses</t>
  </si>
  <si>
    <t>Pony Spotting: Watch the feral ponies roaming the open plains. | Photography: Capture the horses against the island's stark landscape. | Island Drive: Combine with a tour of Delft's other sites.</t>
  </si>
  <si>
    <t>Delft Island (Neduntheevu), off the Jaffna Peninsula, is the only place in Sri Lanka where wild horses roam freely, with several hundred animals believed to be descendants of horses brought by the Portuguese and later Dutch for the regional horse trade. The horses graze semi-wild across the island's flat, coral-strewn grasslands and are protected from removal by law. Their presence, alongside the island's other colonial ruins, makes Delft a distinctive day-trip destination from Jaffna.</t>
  </si>
  <si>
    <t>Delgamuwa Rajamaha Viharaya</t>
  </si>
  <si>
    <t>Temple Worship: Offer flowers at the temple. | Relic History: Learn how the tooth relic was hidden in a grinding stone here. | Grinding Stone Viewing: See the famous grinding stone.</t>
  </si>
  <si>
    <t>Delgamuwa Rajamaha Viharaya located in Kuruwita in Ratnapura district, is the temple where sacred tooth relic of Lord Buddha was hidden for 43 years to protest it from Portuguese invasions in the 16th century. Sacred tooth relic was shifted to present Dalada Maligawa in Kandy by King Wimaladharmasuriya in A.D 1592. It remains a relatively quiet, less-touristy spot.</t>
  </si>
  <si>
    <t>https://encrypted-tbn0.gstatic.com/images?q=tbn:ANd9GcTQArm0OAvHP243RVKdxJo6UTQ3XtKejUNBPYiiPpMd7w&amp;s=10</t>
  </si>
  <si>
    <t>Devon Falls</t>
  </si>
  <si>
    <t>Nuwara Eliya</t>
  </si>
  <si>
    <t>Waterfall Viewing: Stop at the roadside viewpoint to watch the 97 m falls plunge through a tea-covered valley. | Tea Centre Break: Sip fresh Ceylon tea at the nearby tea centre overlooking the falls. | Scenic Photography: Capture the falls framed by emerald tea estates, clearest in the morning before mist rolls in.</t>
  </si>
  <si>
    <t>Devon Falls, near Talawakele in the hill country, drops about 97 metres and is one of Sri Lanka's most photographed waterfalls, easily viewed from a roadside lookout amid tea estates. It is named after a British coffee planter, Devon, who owned an estate in the area during the colonial period. The falls form part of a popular scenic route through the central highlands alongside nearby St. Clair's Falls.</t>
  </si>
  <si>
    <t>Devon Waterfall view point</t>
  </si>
  <si>
    <t>Waterfall Viewing: See Devon Falls across the valley. | Tea Estate Views: Enjoy the tea estates. | Tea Tasting: Stop at the nearby tea centre.</t>
  </si>
  <si>
    <t>The height of Devon Falls is about 97 meters. This waterfall has been created in the vicinity of Kotmale Oya. Edward Barnes, the English governor, started coffee cultivation in this country in 1823 and at that time, this fall was located near the coffee estate called Devon, so this fall also got its name. Visitors are advised to take care underfoot, as conditions can be slippery.</t>
  </si>
  <si>
    <t>https://encrypted-tbn0.gstatic.com/images?q=tbn:ANd9GcTm6x0mHTFdho0_sf1cy0Igid4I_dp028qAh1xYiUnRaw&amp;s=10</t>
  </si>
  <si>
    <t>Diva Guhawa - Batatota Lena</t>
  </si>
  <si>
    <t>Cave Temple Hike: Hike through forest and cross streams on the old Sri Pada route. | Cave Visit: Explore the large cave believed to be where the Buddha rested. | Stream Walk: Cool off in the forest stream along the trail.</t>
  </si>
  <si>
    <t>Diva Guhawa, also known as Batatota Lena, is a cave in Ratnapura District traditionally identified in local legend with the Ramayana epic as a hiding place associated with Sita during her captivity. The cave and its surrounding forest are part of the broader "Ramayana Trail" of sites across Sri Lanka linked to the ancient epic. It draws visitors interested in the island's mythological heritage as well as its natural setting.</t>
  </si>
  <si>
    <t>Diyaluma Falls</t>
  </si>
  <si>
    <t>Waterfall Viewing: See Sri Lanka's second-highest falls from the road. | Upper Pools Swim: Hike to the natural infinity pools at the top. | Hiking: Walk the trail.</t>
  </si>
  <si>
    <t>At 220 metres, Diyaluma is Sri Lanka's second-highest waterfall, dropping in a single sheer plunge near Koslanda in the Badulla District. A short hike from the main road leads to a series of natural rock pools at the top, which are popular for swimming with sweeping views over the surrounding hills. Visitors are advised to take care underfoot, as the rocks near the pools can be slippery, especially in the wet season.</t>
  </si>
  <si>
    <t>https://encrypted-tbn0.gstatic.com/images?q=tbn:ANd9GcSmMx7k3cPTCR_VvVPLaUMUFEaHYYQAp7Y___wy77E4gA&amp;s=10</t>
  </si>
  <si>
    <t>Diyatha Uyana</t>
  </si>
  <si>
    <t>Lakeside Walk: Stroll the boardwalk along the Diyawanna lake. | Weekend Market: Browse plants, food and crafts at the weekend stalls. | Boat Ride: Take a boat ride on the lake.</t>
  </si>
  <si>
    <t>Diyatha Uyana is a lakeside park and recreational area in Battaramulla, near Colombo, popular for its food stalls, evening market, and walking paths along the Diyawanna Oya wetland. It offers a relaxed setting for locals to enjoy street food and views of the nearby Sri Lankan Parliament building across the lake. It has become a popular evening destination for Colombo residents.</t>
  </si>
  <si>
    <t>Dolukanda rajamaha viharaya</t>
  </si>
  <si>
    <t>Mountain Hike: Hike the mountain famed for medicinal plants. | Temple Visit: Visit the temple and caves. | Views: Enjoy the views.</t>
  </si>
  <si>
    <t>Such a good place. There are Monks in the temple. They are very good and always give help to anyone specially who are hiking the dolukanda they always give advice how to protect and where is the water tank situated. The spot is also known for its scenic views.</t>
  </si>
  <si>
    <t>https://encrypted-tbn0.gstatic.com/images?q=tbn:ANd9GcTb0FVhLcic_gesAywJF0AP8hXTle5UuiqxUSiPxOiSLg&amp;s=10</t>
  </si>
  <si>
    <t>Dondra Head</t>
  </si>
  <si>
    <t>Lighthouse Climb: Climb Sri Lanka's tallest lighthouse. | Southernmost Point: Stand at the island's southernmost tip. | Devinuwara Temple: Visit the historic temple.</t>
  </si>
  <si>
    <t>Awesome place to visit and spend some time enjoying the sea view plus the nice view of Devundara Light house. Unlike other sea sides ,even at bright sunny afternoons this place is comfortable to stay because there are many trees around. Located slightly more than a kilometer from Devundara temple. It's a popular local spot for a refreshing bath or swim.</t>
  </si>
  <si>
    <t>https://encrypted-tbn0.gstatic.com/images?q=tbn:ANd9GcRhjXucZDe8gmLRC9RVOq7n2EtUHrz7SdtH1A4xBxqSLA&amp;s=10</t>
  </si>
  <si>
    <t>Dowa Rock Temple</t>
  </si>
  <si>
    <t>Bandarawela</t>
  </si>
  <si>
    <t>Rock Carving Viewing: See the unfinished standing Buddha carved into the rock face. | Cave Shrine Visit: Explore the cave temple with its ancient paintings. | Riverside Walk: Stroll by the stream beside the temple.</t>
  </si>
  <si>
    <t>Dowa Rock Temple, near Bandarawela in the hill country, is notable for an unfinished 4-metre-tall Buddha statue carved directly into the rock face beside the road, believed to date back roughly 2,000 years. The temple also contains a cave shrine with old paintings and smaller Buddha statues. Local tradition links the site's history to ancient trade and pilgrim routes through the surrounding hills.</t>
  </si>
  <si>
    <t>Dry Zone Botanic Gardens, Hambantota</t>
  </si>
  <si>
    <t>Garden Walk: Explore dry-zone plants and cactus gardens. | Birdwatching: Spot birds. | Picnic: Relax on the lawns.</t>
  </si>
  <si>
    <t>It is very nice place. There are many varieties of trees and vines. The entrance ticket is Rs.100.</t>
  </si>
  <si>
    <t>https://encrypted-tbn0.gstatic.com/images?q=tbn:ANd9GcSBGoFhoiz9HpLyowH18X8S0lrn4VT--HcfO-pWNSkkYg&amp;s=10</t>
  </si>
  <si>
    <t>Dumbara ella waterfalls</t>
  </si>
  <si>
    <t>Knuckles Trek: Hike through the Knuckles Range foothills to reach the falls. | Waterfall Viewing: See the multi-tiered falls tumbling through the forest. | Natural Pool Bathing: Cool off in calm pools along the stream.</t>
  </si>
  <si>
    <t>Beautiful location. We camped there for 2 days. For rain waterfall water speed increase. Visitors are advised to take care underfoot, as conditions can be slippery.</t>
  </si>
  <si>
    <t>https://encrypted-tbn0.gstatic.com/images?q=tbn:ANd9GcQplBjCgHgxHQl7RsCkLvbqadxvpmqD0hGbNq7eN-8t_Q&amp;s=10</t>
  </si>
  <si>
    <t>Dumpus Ella</t>
  </si>
  <si>
    <t>This is a waterfall you can see when you travel by Sripada Erathna road. There is no name board at the moment. You can travel along the water stream around 500m to see the waterfall. Visitors are advised to take care underfoot, as conditions can be slippery.</t>
  </si>
  <si>
    <t>https://encrypted-tbn0.gstatic.com/images?q=tbn:ANd9GcS_x2eMGCbvjEB-BFenSPK3h01JgVvof1kA-lIBl2q8DQ&amp;s=10</t>
  </si>
  <si>
    <t>Dunhida Waterfall access point</t>
  </si>
  <si>
    <t>Trail Start: Begin the forest walk to Dunhinda Falls. | Souvenir Stalls: Browse local stalls. | Photography: Capture the forest.</t>
  </si>
  <si>
    <t>The enterance for the dunhinda falls. You want to make like 20-25 mins hike for the view point. There is a small parking fee if you bring your vehicle. Visitors are advised to take care underfoot, as conditions can be slippery.</t>
  </si>
  <si>
    <t>https://encrypted-tbn0.gstatic.com/images?q=tbn:ANd9GcSNdkoGOCqmPv0DgDYAp_Pqdi4vOvaTLD7OmuwUQdQ33A&amp;s=10</t>
  </si>
  <si>
    <t>Dunhinda Falls</t>
  </si>
  <si>
    <t>Forest Trail Walk: Follow the 1.5 km path through forest, spotting monkeys and birds along the way. | Suspension Bridge Crossing: Cross the swaying bridge on the trail for river views. | Waterfall Viewing: Watch the misty 'smoky' falls plunge into the pool from the viewing platform.</t>
  </si>
  <si>
    <t>Dunhinda Falls, near Badulla, is one of Sri Lanka's most famous waterfalls, dropping about 64 metres in a mist-like cascade that gives the falls their name ("dun" meaning smoke or mist). A scenic walking trail through forest leads visitors to a viewing point facing the falls. It is considered one of the most beautiful waterfalls in the country and a popular stop for travelers in the Badulla area.</t>
  </si>
  <si>
    <t>Dunhinda Waterfall</t>
  </si>
  <si>
    <t>Forest Trail: Walk the trail to the falls. | Waterfall Viewing: See the misty falls. | Photography: Capture the falls.</t>
  </si>
  <si>
    <t>Dunhinda Falls is a waterfall located about 5 kilometres from Badulla in the lower central hills of Sri Lanka. The waterfall, which is 64 metres high, gets its name from the smoky dew drops spray, which surrounds the area at the foot of the waterfall. The fall is created by the Badulu Oya which flows through Badulla. It remains a relatively quiet, less-touristy spot.</t>
  </si>
  <si>
    <t>https://encrypted-tbn0.gstatic.com/images?q=tbn:ANd9GcRY1pbHDDuGnk340J0wFFF8NQ13p7E3LyIprVY3V3NPjw&amp;s=10</t>
  </si>
  <si>
    <t>Dutch Museum</t>
  </si>
  <si>
    <t>Museum Tour: See Dutch-era furniture and artefacts. | Architecture Viewing: Admire the old building. | History Learning: Learn about the Dutch period.</t>
  </si>
  <si>
    <t>The museum is located in the hear of Sri lanka's traditional shopping area. Its too busy to use a car, so make sure you walk. It's an off the beaten path Activity in Colombo and I recommend doing it. It draws a steady stream of local visitors, especially on weekends.</t>
  </si>
  <si>
    <t>https://encrypted-tbn0.gstatic.com/images?q=tbn:ANd9GcTUOPEL4SE7OpSWoj3sc0LolTLe4UEUtYHS99GU1tYKWw&amp;s=10</t>
  </si>
  <si>
    <t>Dutch Reformed Church</t>
  </si>
  <si>
    <t>Church Visit: See the historic church. | Tombstone Viewing: See old tombstones. | History Learning: Learn about its past.</t>
  </si>
  <si>
    <t>This was one of my first stops at Galle Fort. It's an impressive structure with several stained glass windows. There was a small collection of parishioners outside when I visited, but I was free to walk through the church and grounds. Reaching it typically involves a short hike or a climb up steps.</t>
  </si>
  <si>
    <t>https://encrypted-tbn0.gstatic.com/images?q=tbn:ANd9GcR4tiyo7RhJ1cI142WVKZ42nSEK3a9vslGlS9THBbY-Lg&amp;s=10</t>
  </si>
  <si>
    <t>Ella</t>
  </si>
  <si>
    <t>8 h</t>
  </si>
  <si>
    <t>Nine Arch Bridge Train Spotting: Hike through tea fields to the colonial viaduct and wait to photograph a blue train crossing. | Little Adam's Peak Hike: Take an easy 45-minute trail through tea estates for sweeping valley views. | Ella Rock Trek: Follow the railway line and forest paths on a half-day climb to a dramatic cliff-top viewpoint. | Scenic Train Ride: Board the famous Kandy–Ella train and sit by the open door as it winds through the hill country.</t>
  </si>
  <si>
    <t>The area has a rich bio-diversity, dense with numerous varieties of flora and fauna. Ella is surrounded by hills covered with cloud forests and tea plantations. The town has a cooler climate than surrounding lowlands, due to its elevation. The Ella Gap allows views across the southern plains of Sri Lanka. On a sunny morning, you can even see the glow from the lighthouses along the southern coast.
By rail. Ella's a few stops from Badulla at the end of the railway line that snakes through the Hill Country. Trains go to Colombo and Kandy from here. The fares are ludicrously cheap in 2nd and 3rd class, and the views spectacular. It's usually no problem getting a seat in 2nd/3rd class going to Colombo or Kandy, as the trains from Badulla are quite empty until reaching Nanu Oya. However the reverse is true going up to Ella and it can be quite crowded until the last 2 or 3 hours of the journey. Ella's railway station itself is prettily quaint. there are many travelers who visit ella by train.
By Road, Buses go south through Ella Gap to Wellawaya where you can change for a number of destinations in the south of the island.
The climate throughout most of the year is typical of the high Hill Country, with a hot sun by midday, but a moderate air temperature. It will often rain in the afternoon, but only for an hour or so. A sweatshirt, or light jacket is needed at night. In December it can rain a lot!.
Ella has a small post office and one bank (Bank of Ceylon) with an ATM.
There's not much to do in Ella itself, with a handful of small shops and only a few bars/restaurants. It's basically a nicely relaxing base for exploring the surrounding country.</t>
  </si>
  <si>
    <t>Excel World Entertainment Park</t>
  </si>
  <si>
    <t>Thrills</t>
  </si>
  <si>
    <t>Rides &amp; Games: Enjoy indoor rides and arcade games. | Bowling: Try bowling. | Dining: Eat at the food court.</t>
  </si>
  <si>
    <t>This is a one of the best and old place at Colombo for entertainment. Several games available for kids and adults. Most popular is bowling. It draws a steady stream of local visitors, especially on weekends.</t>
  </si>
  <si>
    <t>https://encrypted-tbn0.gstatic.com/images?q=tbn:ANd9GcSpwnVxMXI2teqJFKJSMXsmj_n7rBZLlkfW4ZI2WxVM7A&amp;s=10</t>
  </si>
  <si>
    <t>Flamingos Safari Tours</t>
  </si>
  <si>
    <t>Guided Safari: Take a guided safari. | Flamingo Watching: See flamingos in season. | Birdwatching: Spot water birds.</t>
  </si>
  <si>
    <t>Over priced, charged LKR 8000/- when safari was cut short, no concession offered. Mentioned that no guide enquired, but guide joined on the way. This puts the customer into an uneasy situation.</t>
  </si>
  <si>
    <t>https://encrypted-tbn0.gstatic.com/images?q=tbn:ANd9GcRDfaW4GNDgjn8kVEfOb71Spmzif_MmjunEuuNTOu_bdg&amp;s=10</t>
  </si>
  <si>
    <t>Gal Oya National Park</t>
  </si>
  <si>
    <t>Elephant Swim Boat Safari: Take a boat across Senanayake Samudraya to watch elephants swim between islands. | Island Hopping: Land on reservoir islands like Bird Island to see nesting water birds. | Veddah Village Visit: Meet the indigenous community to learn about honey gathering and traditional hunting. | Jeep Safari: Explore grasslands and forests for elephants, deer and birdlife.</t>
  </si>
  <si>
    <t>Gal Oya National Park in Ampara District surrounds the vast Senanayake Samudraya reservoir and is best known for boat safaris that let visitors watch elephants swim between islands in the lake, a rare sight in Sri Lanka. The park protects dry-zone forest that is home to elephants, leopards, sloth bears, and numerous water birds, and it also has cultural sites and Vedda indigenous communities in the surrounding area. Jeep and boat safaris are the main way to explore its 25,900 hectares.</t>
  </si>
  <si>
    <t>Galhinna big rock</t>
  </si>
  <si>
    <t>Rock Climb: Climb the rock. | Views: Enjoy panoramic views. | Photography: Capture the scenery.</t>
  </si>
  <si>
    <t>It is called "Kattappua Hulang Gala" here. The most beautiful place where you can enjoy a short walk from the main road without any effort. Just like the name, there is always wind here. Visitors are advised to take care underfoot, as conditions can be slippery.</t>
  </si>
  <si>
    <t>https://encrypted-tbn0.gstatic.com/images?q=tbn:ANd9GcTOS1iWUGclOR0rMclXQZ8Ix5I_9qI7j77X6k7keKCYKA&amp;s=10</t>
  </si>
  <si>
    <t>Galle Dutch Fort</t>
  </si>
  <si>
    <t>Rampart Walk: Walk the walls. | Colonial Architecture: See churches and villas. | Shopping &amp; Cafes: Enjoy boutiques and cafes. | Sunset: Watch the sunset at the bastions.</t>
  </si>
  <si>
    <t>Great place to roam around and enjoy. Lots of hotels and gift shops are there but all the buildings reflect the beautiful dutch architecture. When you are in it you get the feeling that you are in an actual dutch fort. The spot is also known for its scenic views.</t>
  </si>
  <si>
    <t>https://encrypted-tbn0.gstatic.com/images?q=tbn:ANd9GcSKPfgAzBm8xfthMKkjII4yHl0sECcEDlC8xHwuswW83Q&amp;s=10</t>
  </si>
  <si>
    <t>Authentic</t>
  </si>
  <si>
    <t>Galle Face Green</t>
  </si>
  <si>
    <t>Kite Flying: Fly kites on the promenade. | Street Food: Try isso vadai and kottu. | Sunset Walk: Watch the sunset. | Evening Atmosphere: Enjoy the lively evening crowd.</t>
  </si>
  <si>
    <t>Good views. Pretty Crowded in the evening. Though the authorities try to maintain cleanliness there can be seen a lot of waste in the middle. Visitors are advised to take care underfoot, as conditions can be slippery.</t>
  </si>
  <si>
    <t>https://encrypted-tbn0.gstatic.com/images?q=tbn:ANd9GcRCYGlAzwdbT4gBt5xVjp8NoLKD72Lu4aKJn_aXsmFXnw&amp;s=10</t>
  </si>
  <si>
    <t>Galle Face park &amp; Beach</t>
  </si>
  <si>
    <t>Beach Walk: Walk the beach. | Sunset Viewing: Watch the sunset. | Street Food: Try local snacks.</t>
  </si>
  <si>
    <t>It is a very beautiful place. It is a perfect place to enjoy the beautiful views especially in the morning and evening. Even though the horses can enjoy themselves freely, they must be very careful. Visitors are advised to take care underfoot, as conditions can be slippery.</t>
  </si>
  <si>
    <t>Galle Fort</t>
  </si>
  <si>
    <t>Rampart Walk: Walk the old Dutch fort walls from the Clock Tower to the Lighthouse with ocean views all the way. | Colonial Street Exploring: Wander the narrow lanes to see Dutch churches, villas, the Meeran Mosque and old warehouses. | Boutique Shopping &amp; Cafes: Browse handmade jewellery, lace, gems and art shops, then relax in a courtyard café. | Sunset at Flag Rock: End the day on the southern bastion watching the sunset and local cliff jumpers.</t>
  </si>
  <si>
    <t>It is situated in 113 kilometers away from Colombo. The Galle Fort, also known as the Dutch Fort or the "Ramparts of Galle", is a historical, archaeological and architectural heritage monument, which even after more than 423 years maintains a polished appearance, due to extensive reconstruction work done by Archaeological Department of Sri Lanka. Galle lighthouse, Galle clock tower, Groote Kerk - Galle, All Saints' Church - Galle, National Museum in Galle, Old Dutch Hospital, National Maritime Museum Galle are main archaeological and architectural heritage monuments in Galle fort. The fort has a colorful history, and today has a multi-ethnic and multi-religious population. The Sri Lankan government and many Dutch people who still own some of the properties inside the fort are looking at making this one of the modern wonders of the world. The heritage value of the fort has been recognized by the UNESCO and the site has been inscribed as a cultural heritage UNESCO World Heritage Site under criteria IV, for its unique exposition of "an urban ensemble which illustrates the interaction of European architecture and South Asian traditions from the 16th to the 19th centuries."
Galle Fort is in Galle, which is located at the extreme southwest corner of the island, in the southwest coast of Sri Lanka, where the shoreline turns east towards Matara and Tangalle. The fort, like most of the forts in Sri Lanka, is built on a small rocky peninsula, belonging to the sea as much as to the land. As it exists today, it covers an area of 52 hectares (130 acres). Highway A2 provides road links to Galle from Colombo (a distance of 113 kilometers (70 mi)) and the rest of the country along the west coast or from the east along the south coast. Since 2012 an expressway has linked Galle to Colombo. Rail links are also available to Colombo and Matara. Sea route is through the Galle Port at the Galle Harbor.</t>
  </si>
  <si>
    <t>Galle Fort Attractions and Jumpers Sri Lanka</t>
  </si>
  <si>
    <t>Cliff Jumper Show: Watch local jumpers leap from the fort walls into the sea. | Fort Walk: Explore the fort. | Photography: Capture the jumps.</t>
  </si>
  <si>
    <t>First time to visit Galle Fort. A beautiful place with a lot of historical value. Buildings built with dutch architecture are everywhere inside the fort. It draws a steady stream of local visitors, especially on weekends.</t>
  </si>
  <si>
    <t>https://encrypted-tbn0.gstatic.com/images?q=tbn:ANd9GcR_WkdcZr3lF05tPiR3PPbV08bKTidlXSvi8PiHk4G9BQ&amp;s=10</t>
  </si>
  <si>
    <t>Galle Fort Clock Tower</t>
  </si>
  <si>
    <t>20 min</t>
  </si>
  <si>
    <t>Clock Tower Viewing: See the 1883 clock tower. | Rampart Walk: Walk the walls from here. | Photography: Capture the tower.</t>
  </si>
  <si>
    <t>Amazing location. But the day time there is a hell of heat around. But at night its really calm and peaceful but the breeze makes something. Visitors are advised to take care underfoot, as conditions can be slippery.</t>
  </si>
  <si>
    <t>https://encrypted-tbn0.gstatic.com/images?q=tbn:ANd9GcT6ri39ELYTOmo5LN5ioJsfe2SDfdv8XzHqytzgZZE8WA&amp;s=10</t>
  </si>
  <si>
    <t>Galpotha Natural water slide</t>
  </si>
  <si>
    <t>Natural Rock Sliding: Slide down the smooth rock into the pool below. | Bathing: Bathe in the pools. | Nature Walk: Enjoy the surroundings.</t>
  </si>
  <si>
    <t>Galoththa Ella Falls is located in Nawalapitiya. It stands at a height which exceeds 50 meters and a width which exceeds 60 meters. It is also known as “Heightenford Falls” and “Sudugala Falls.” The water of this fall slides over a slanting. Visitors are advised to take care underfoot, as conditions can be slippery.</t>
  </si>
  <si>
    <t>data:image/jpeg;base64,/9j/4AAQSkZJRgABAQAAAQABAAD/2wCEAA0JCgsKCA0LCgsODg0PEyAVExISEyccHhcgLikxMC4pLSwzOko+MzZGNywtQFdBRkxOUlNSMj5aYVpQYEpRUk8BDg4OExETJhUVJk81LTVPT09PT09PT09PT09PT09PT09PT09PT09PT09PT09PT09PT09PT09PT09PT09PT09PT//AABEIAIoA9gMBIgACEQEDEQH/xAAbAAACAwEBAQAAAAAAAAAAAAADBAECBQAGB//EAD4QAAICAQMBBgQDBwEGBwAAAAECAxEABBIhMQUTIkFRYRQycZGBobEGIzNCwdHwUhVDYnKC4SQ0U2OiwvH/xAAZAQADAQEBAAAAAAAAAAAAAAABAgMABAX/xAAjEQACAgIDAAEFAQAAAAAAAAAAAQIREiEDMUFREyIyYXEE/9oADAMBAAIRAxEAPwDyUdlwyIxZQAdp8sJIZJNSg4Til98VWKaViquUBUAr03Y1pA2mUTSLyBQHkAf65NtIixp9NN3ixPIggHOzoWxY7JwYpAFblWIXmx6+mU4kSpGKupFNfX0/DFdDPJ++ErlmJ6XyTm8BWjXXSqxjbThyY+qki/ajgy4ptw8TdL8h64aKVY40UOApAs+jV+mCWWOOVoKJ5s31/D8MS2Lv0sJDHypG0CihF8j3xnSykHvWKqCx8K87h53ic8LkKYzu3/y3zR984M4l31tVU8Ph281hf3I1WaU2rU+Ekr51lUlQxgbbI5YA9PfFG7QLInf+IOlrfQnoR9+cG2vEiklNjxiwR/N7EfSsyjSoGJow8ybzUiobX6f1y+t1MksYGyubBGIRztuTYAF44rpjGpl73SSd5tYBdw8VEHN7sXaCww95EI+8RGC/McHv7uMK6vxxuB/PEhqGKBaJAPmec74p33b28IJHP0GU9GC90mwMZD18Xr9cJ+7VA0bIHJ/D8czxKSpDBefbnLRs6soD2p8QFY6sU1IJfCxEhogdAcXZAH3yvtYt4S3nl2mYoykFZAOKBF++JhXmjCTccVfr9MCkChh5TGA0fBPmfTIM0jsqEtuPUf1GJyKUkKqGIQ0CT5YfTvukA7s7wRfHNHKZKg0irzrGtOCWF0K87wcc7LUxHF8jGpW/9UDaf9Q6YOOPvCRZVDdkfl/XApKgBxM4kXde3yIH6+2HlWHVQ2RyrVxgQk0YIVAwJ6luDgTEY27xti1ztD9cl29BSKTRrEDGQSvzVg++DIFVOh5464wdQjRhmW26UcE+pjiAO0n6CgPr65RNhdeA6k8XWsVlvavIrCvqAzF7eieo6D8MX1DhiTVWMZ2ZLZRCploqRYsc50ikLaKTfWjkA71rbZUdchXvwgUAecQrQPZYFnbnZR6J4s1nYQmzJKAojVRtA445+uWg3qD+7MikcbvL2xZNR3AZIjbmgD1snrhi4CKrgvuBPeKaN3nMxKJlapPEmzcvA8vvgY1Td8nI6HLbWQ7Dbktxfll5AtUrgMB09D6YyZihVO7EZLeK/wDPyy+mbuyvfIDGGF8db/t1y6lXjRSOfr0zlhd3KpuIroMDkjWE3b0Nkq6r5HgnL6kJJDC6bmawr8dMGmm1AjLFCV96GMJCp5LVY4o4lq7RhFNI80gF2F4B9OcIdM0Z59DVkHHhCyDvF2vfPGHlgP8AEZVFdLx87QHIUjiVoGAoMFXBIKB3Kx8rJ64yssaWshPJANC8l+5+RQfQirBxHIUQ7oqQXZVv1IGVd1iFKAzD29c3U7BEumOqnJZVrhcpJo4l3GNAsp4yjlj2aTowGhkIBTTSHceuw4zBpZ5WUSL3ajoX9PTNBZZFBSWtx4prGC75ni3ac7Ws3VWw9czmxMmxxdOFTfLO1gUAg6ZSdIDyqorn5b/tmedVPHYMhN82ThI9RHq9iyoGCGiVJFYNhpsusZjjPfRoSp8BDUMWk7RaNgqRKeOdnNfjjhi09bN5WufrlSsKcmQm+rAfphjL9BSJ02q+Ij2kgMeASAawc0WrcnYykr5A1l417NVtxaSW+qi7++LyNGJHOmWVATQLtZw/wf6bWztupiGzUAKv164CeISRnu91nLM0rKVkfcen0xahEpDOecpEXAhElQlZGJUfcZVtRtrapkP0J++QNjEkFj9eckySjlHIoVxjjV8lJ9Q5Boc8cVldrsocxvXnwR+edvYsNzke3vk7GZjyzfQZmw6KyBapSVPntF3lG2ojLG5LEi/bLShomSyVPplIIZJQG/kJPNYEMgDjk2ebrOyxQtGoBF/5/fOwjUNrGqgOFYVjE0JMEJViOW5HnzkqYz0Q0fI3hyjlFRkCqpJBPv7ZxykJZSKMbBuawPQ3lkEYkUFN3ow6ZervYXsdBYAwUsj7VExCqDW4HJ3Yj2NARI3hHtXll3mbb4BQBHK4huUxhXvcOo9/Xj1yqQTvKO7bYFN2On/fNivWDEcVgw2gsR1qrHOJJPJFOdsJ4876fTNGDs/UPIWsbfJvlH2/HHItNpEb99J3j10RqH3wppD2lox2aR0bbuUnzvi80WExBMjKE3WGJ8iv9zhBKFYrHFGOePM/fEPiA0zrIrA3xuJH0wqTqhLvouG0ayCJpGJf5nA4446ZpxNBAoaNLodCPnGY7t+5JESuRwWPl73j2lAeJeXpLHh5IHoRmfWjbH5ddPLFvhZ6fwsm40PwwEpd0Tw7So55/rhY0HfKGQpY53cEY0unikAt69gfthcOSWxnxyZm90zxW1p4r5Ng+xGKyyIsjbQS9i2JoZ6CfT6dEMc0cZYrY3Fr+vXryMyxoZHkuGBdnW5AQb/AXWVjwS9YVxUZ0ksrReakHoMEgIJaRib9c9DH2ZqTp3jfTxfMG37/AAge4q8F/s1m3M82kAH/AABv/rlVwy8G1Exe9jHCgC8ptJkJDXY6DN5ezI9ob4ndtNVFFX53+uFbs9EADyTtuPhDN+fmMZcDNkjzp3IKVW/AZURzSdI3v2XPWw9k6OWJjtkSQGgVYn9eME3Y2lgYlXlLVXkLH2zYU6Gxb2ebXT6iU1HFZA8zWBfSyMQu3e99ARnpP9mJDculnljkBKgk7gb9sGnZGm3KZXmK+ZEhIo9cZQFcTzvws6sVRNrC7BrBtp5Tza+lhs9TH2fEezviYNIC6lgQ1kkCru/rmYNFGkhkXRpKpG5ogL2D1+nTKfT1YiqzNSNol/iJfQ+d4F5t7BI2+mb0/ZYgEUjaeFUmiEqkigAf5a8yPfEtRptNFIs2ymPIFcXkuSNKxmlVmc2nZxukrux1PP5Yd1jVDsaRPAVUEZLRmbdsJWh6WMq1x+OXcQPMk0c5siWQpEvduCV3UtV9ecnCtIF8SCt3lk4+RS2HTURlGKCj8xvof7ZMskjvuSiqjpWTotOeAUY+EixzeOQ6ErCO/KhRznK3S0HSM6QElTu8XHA6HJMEszoShAAtqHl75pJL2fD1q2636ZRu0lffHpxQr5dtWMMdqxMkRpOzkN9462vNBv64/rE0Wl08fw8ySyOAxAPIPocxlmmS+FlBPQ5DLNG24qos+IsbP28sfJVVByvsb02rkKlGoCuSeKOQXMk/dbI3NixXTFFR7okBh0JFYDS94dW08ioQCfPJ1exXFGhPBJCz7pBwPlU/KCcB8OmrYyCba6kCiete+HjJdyJC0iHlSTRX2v7Yc6F2eNV2pFZLNuq/Q4G2jdIAmkdD3PeNuBHC+If5wc0dPp1SUHvit8hGFG+vllNMxi1J2sGQkqCuN9kxtLrC0virxD+n5Z1cUFKOTKwSezahkRmMXdVXzUOL6cY4q6WNgdiqQLsL5Ygv8RgOg88Y1YvSuefkOXxXR0fsXm1KSyeCQxxr8uxRROUV0B3mYE9T4cyu9IAK0vrl0JPVSfPjLxic2Tuz0+hhi1cpEMxAVevkSfUfS8O+hh0IvSFGEoJCSc8+ov8ATF+wyGRSiEcgmvM3z+uPdtudPptNKqBmSUCj05xHqVGby2zz/fJwvcr05VV/ysuQFSiWS6KcAAeozWnbRatwJmCTA0WU9D5XmV2lDPpNUInUMjC1Pk2UTti+B4Gh2ttYluhvFdQFLblPXBtL3bEAnmqB8vb3w0gTu1liAKngjElGnZWMrVAK5AIN/TBdzT+FQQx5rDqI3nAFg/TO1sOoVkkiYJAp8VLZP4/XFtej0xHtLTNG6aiKTY6gcqNpxM6mffvLLEwH8i7QftmtIp1CBigKHhgT1yg0EauXKDkfKOK98CeAGkzN1pnhjQ64sFq0WQBQAfT75la7TudNuokCnQjm1Isfkc9Hq4ml0nwrVLAONkgBCj29MQ7RSLXqZoJu5mCbTEEtWrzDD28iPLGclNE8a0eei1BjILkVX0oYX45Zbj8Ow9OOuISKWm7tJLe+UZaN5SVGiKA/KeT5ZyOGxcB+KXTqn8E2epJu87A6e5IyUUnn1zs2JjWOudHoL3akdQMT1c/fxsCQ8xHrXH19cEZiYtveDd/rAofhgXiP+63Pfi3Ff1znUfkRL5ChtS8NMoXb6rV+2Diim+dlcxA8Bebyxd5FrY7LxVNhUllI7uJtgPh5YgX6Y1hsHOrq5eEhW/3guufTrkI/zIdzAnmxV8ZaPTu/eKzxj0JHnh2RAihrYhR4l9cDoDIiDMpk5C0OT6ZBQB+9RaFdR64eNJIAVklq+SSLP+cZzdBJyd3PSr+uSveheikLkAI7boyerZaKeaKKJA1xK9NXIq8skS02/dzyWvyPphFjaMWJA+0WOtgZpSM5ELrwO0ahjC7hta/5j656TsvTNp2tyCW54zyjQl9XFLHHtckWAev4Z62HVwpN3G+pEHQ852f59R/R0cS1Y1HYkIANX541Ihl07r6owr8MR0+s0eom2DUqGJ4Vh55pRRkbwGsADaQPPOgsjyDtRNc5ZdVtWj0/LGdToXOokCp4V6sDQ/zjBNobelG5elr0OdKObR6z9mYS8cU6t4CORfnmn20gbQOAfGPEt+o5xP8AZSN4uzyrqR4uLHUVmnrYjLHwLN/lkJP7w19p4LVTSabV7y6gSAGj55taPVx9p9lvo5Hb4mMEx+R49/yzK7V7OZtSAHR9qhSA3ng9NotTp5lnimKOtEc+mXaT2TXQKTWs+kQ7QrozK271645omZtO1AheGFnz88cGj0XxEmp1id1IwYqodjFJYo9OQfbM/VTbEpECiyfQDEbyVFYtXYWKVQw23uHpjc8inRjvEU3RAJ8+mYA17BtkXzsKHIH9sFPNO4USpIpQ1XeCvfpifRbKvkj4aKdoRwh0l3MpN+AgH88u2vgZAYt//UBiem0s00LyjRTCIC93B+lA81gZAZYu7uGI/wDHIw/UZR8aZL6gc9pFBteHcCeoPX74vrNXE77gQrfUcYpqEljIQy6ZwehjbdWUj0sBFzauWOupWEH+oxMYp9hzsW1phsMrBnP4nC6fs2PVxyS6t1QAV43q/wDlr+tZtaXtHsjS6QQPJrZGF/vWUW3PQ85h6rUrOz7EkEZJ2+o9MlKKWxLbYFYlhmalFHpuPNfTOwLtR5oDoD65GRphpkzxpACbVY2PO3nnLxOkszxI3eFhdBarBPWogKRpdgV15OTpYX00jSSOCzVY/wC2c70tidLYSXv9NJEUi68KaHJ/5RnHTayaQ7woNXuHn9fTHhGvQqKNcdTeWQbCUa3PlfAGSfJ8C5AfgiEAIJBHIXjGI9KB4WBUCxRN9chZQpsEFgeReFVmbwOBXp55JubBTaAyQ03zcqOAeGHpxirtMWKRtudD1I8sNNqIY3XY8iAcEXV/3wXxkc3F71vg++PFNKzbRWSR95G4kEDgenrlJHeKYg19L6Yz3kQ6qpAPSqyus0nxcDSQ2SVAHPU/2xo0+xU02E7Lnh+KBcF0qtvXnPSLFPIqSrGxjuyL3Mvv9M8zoh/sv/zKh3cUoHT3zUg1RYqY9wB8rOdnA0/tR08coxVE6jRnvyTAtbvmdNp/XNTQaHU6mMPpWVI95UWLBYC+fQZTS6eOW5dVSKvqbJzVj/aDTaOFINFEGCit8jUB+Gdai0aXKnpC7dndqrGXYwyEsVCRqfF+dZzSR6aQw6jWaVXr5VUkg15gX+uV7S7Wn1ujMUurihRuoTgn2zEWCOIDuUUirG3KLJ9k9GoO3ZdNI0EOv08SE2dkJ3//ACJH5YYdpx7D8R2o0iHqsigfmMwrS2M0sYXyXYW/PK0GoAmr9MbFGN1dVp5BcJdlv5lUsPuBgW1bCc9/IAnNLsbcPTEtE+qE0qwiOV3Xoy76wOjj1EmoVF7td58RHhBNHqcNANU6xZQQkbvXrwMSl1brf7oFV6ryawOtSbRkxSynvNoYgHgfbzwGkSeXWAeM9C77b2D3J6YEmHQ+vaMjEoezY2P/ALgI49eox3Q9s6uId18DAwB8QIYED0FnM7u54pIy0sdKbV0UOzH0HHGDM0xmf948xZixD8n8gMEmvRkmz0Q/aFVdoZNONPEy13kjcj3rzzxXaM5lnYhgQOhskH6E/wBc0Jpe8h/8TEgA6ceI5kTCJCe53eL5QWzm5JeRDj8giXALHpXl5YaJu9tZG4rqemKoxUgOBxf+e+WMkrqRuuhQo1nO38BHfhYUTcdspHQFuB9sXmkDE9AL4rpicMcsvMqsoB6gVeXmDyqAnho0OfTBLkfQJSp0dIquq852LmRLpnuvbOwWwWOpGJ0Lqzx7uSa65yz923dstANZbLLYiBj5CjqR0wqqZUCtZWrq+TnK5fJO7LRyRsPCpIPvlvCVBc9P5AePxwHw5QNFFvVyu7kbsqmpnEndSp3B/wBHm2DG9oGI93NcrIFRhyPXI+GUyI4LpfoeoyWdN21mrjLb4tqiunAN8/XEVsytinaEUbacK0gHPStxH44q0v7sIgAANAAdMZ1zxoCqMA7G2BPQZnhmKeI0b4Ay8E62GnQdpCIa9D8xH6ZK6x1iEXC34RZxXdtagrMSOg5//MKdBPKisvqCQDZGUULGjx2Fn1DRlItRMlHkc/rm9+z8JcodRpSyTeGPf+tWPLyzy4Gt0+pWVQFK3W9A/HSiOePY59C7A7W7L+AWWbsjTQzREcrGKs+Y4vOrh4sdhlBRRGu7EGm01sJpgrhSzsERfwFk5njs/S9wNkkne7yG2jw15HnnNub9ojO0kXcRtA/k67TWJvIm+wmwei8gZ0qTE14JL2REeWQgH3POH+C7pAqqz+QFih98ONUgNA8jJMxYY1thtISbQyA7kgXd6sRhWgnlG1ooPqQP6DGO8Pnlu8wgzBaOGfSTK3exBB1VYVJ+5F5HwmjHafed4wTdYLHaAPoMmSehX2wQVH5YWT5k9Mxrtl+1JOzdT2hJqUimc2ObCjj88EJA8YUKBGtlY1PAzjpoibs/jzlW0UHHiqvPF2VVAv3QIsqQDdkWB9MXm1EZbbFXB20ooHGzoNPXi3feso+m0WlVpu5Vto5LHj88XD0fNGVqw7yFSj2OpGZ7MI5jvIPnzjOv151RAVRHEvkvXM2aJJTalh7Dm/rnHOUbEc0dIXncOpABPzf9s4IyFpNo48weuW7goloxVqqut5Cq46Eks1EHndkXIRyLpqXalCcnqPbOMgLAtGQa8JJOWDJvp4yBfSuDhFaNlrurroGNYuVeC2Z80FuCgccc3kYxOCpFqaI8jnY6kx8mHikR/wCGVReODhw6bSpYg+nTEIoa5pivscd3Rd2BGBY8shNCNUWaTUBd0R2qByfMjFYB8XMJGa9h4A64xHKYn3kEiuATeK6iUiaPUCMxqG8dCr96++GC1oZdGlL/ABV2BiB824fnijlviGIejVAjLGcS7WVtsYANHIJMzd4HDEfKu2gMWKrsC0K6kSTKtsvh43VycjTxyzArGCSfIYVYNysCbYE7tvlj2icJvvahQVfn9co5JI39FoA0G5JAQ4IH0/HH4dQflCC7uyOawsEqvKNjKCWoll6443ZzayMKJtvdkhjsq8MbluLL8cb2gG3TSKGnkjhF0Gb+udEUF9yyyRA+FwKvNhNA6JUSRKoFbibJ+uBj0McbFpHDn/T5Z6HC8Vtg5I5IVUqebP2yxaQAd0u6uoJrNQA1uDBFI6KOfoDgptOskb95JdjqSa9rymaEXC0ZT6icjwQx7B1Zpf7DH4hUIlDrJ3nitOn0H06ZcNpII6VQW6ev64lFsg72OKbwlgV54r7deuLlvQ+CoOupV5O7pgcu7Bq/vWKsiWQgA468H8crGNslbrrk+WUjK+ycuJLaGufUe1Dpkhq69cFuoX5HI3+eUREYD52/F+8zt+ag5NBy/nmT2rrkMT6dV3Kwpien4euOs+I9rtEdEe8YKynwH3yfKng6HUrRigLYAG7z65QSBdxbqefD0yiNscg+Kx1H5ZVtgC0DxyS2eVjsFFu828MCLHk1gHKSTsCNnO3kt5YMoxIZSAS1X6YWKBw7M0nyGlsX/nXHSQySBtL1o7b87yAx7oeHdzX0yZIiz7VdRRvb1JyqR3xIbpq67bw0hqQ2s5dAtMQvvnYogKfuyTx0JFXnYMQUaDGNIyK3cZEIQUy305tsH1dr9Rlo1BcggEe+Q8FGRJ3u0oF4PAJ4AyshBVu8JdTxQHGK0Ak1cc4QE9wo/wCHNVGXY0eyr08TByQVth1xU6TURsYdGhBZuWHNZr/zwR/yFfl8vtmtCqo67FC/QVnSqOqkeZg0s2jOyZGUv1Jq7wqo4YiJLBAPJ4ze16K3amiDKCDJyCOvOA7PVTrSCoIvpXtkpRJuKbF9D2dq5G3QwgL/ADM3Qn1z0g07Kq7m8Vc15nGQAqDaK58sz+15HSVAjsoI5o1l+KCjsp0D1OolSk3gnnoMDvdR3jN0+x/DEdS7ufGzN4q5N43CoMRsA8N5e4y5i/fEMWfcS1CxyPTCmWwaBAvyGcqjuX4GZqk7Op64yVgbHncc7dq2KNnFnWEuAVdx6qAAP65CZZfmxqBZyRqpBC39TeE5skhjfHSsvIzb1G41Q88r/JKfPcP0wZGoEXpuRdeRGdLL3lWFFdKGDJPeVZr0y7qAhoDKpkmil15527KHKnKIhJBC3vnlv2kMh1QH8oXPRnMTt/8Aip9B+uJy/iPw/kZOl1C91skch7+YnoPTGJHXcDd2Mrpo0Ov1ClFIEbUCOnAwEBtOc8+UUXnFdjkUqnhvLlb4/PJfUhQAtkVfh+vTFD1OSvRPa/1xUhUkHEsIY7UQn3FfbJtOeL/6s5iak5PyjAgnuyfOsIQ4HFi65+Zr5zsACaBzsUB//9k=</t>
  </si>
  <si>
    <t>Gamini-Thissa Monastery Complex in Mottagala</t>
  </si>
  <si>
    <t>Ruins Exploration: Walk the ancient monastery remains on the rock. | Rock Climb: Climb up for views of the surrounding area. | Inscription Spotting: Look for early inscriptions.</t>
  </si>
  <si>
    <t>The Gamini-Thissa monastery ruins at Mottagala form part of the extensive cluster of ancient Buddhist monastic sites in Ampara District, reflecting the region's deep historical roots in the early Sinhalese kingdoms of the Eastern Province. Such sites typically feature stupa remains, rock caves, and inscriptions from the early centuries of Sri Lankan Buddhism. It remains one of the district's lesser-known archaeological locations.</t>
  </si>
  <si>
    <t>Gampaha Botanical Garden</t>
  </si>
  <si>
    <t>Garden Walk: Stroll the garden paths. | Rubber Tree History: See where the first rubber trees were planted. | Picnic: Relax on the lawns.</t>
  </si>
  <si>
    <t>Very attractive place with hundreds of kinds of flowers. There are lot of varieties of plants. You can see bonsai trees and special orchids here. It draws a steady stream of local visitors, especially on weekends.</t>
  </si>
  <si>
    <t>https://encrypted-tbn0.gstatic.com/images?q=tbn:ANd9GcRp4tlb4eR64obL1aCM8v9zmI38j-Fkq6tl93AdjA5TbA&amp;s=10</t>
  </si>
  <si>
    <t>Gangarama Sima Malaka</t>
  </si>
  <si>
    <t>Meditation: Sit on the lake platform. | Architecture Viewing: Admire Bawa's design. | Lake Walk: Stroll around Beira Lake.</t>
  </si>
  <si>
    <t>Seema Malaka is a Buddhist temple in Colombo, Sri Lanka. The temple is mainly used for meditation and rest, rather than for worship. Situated in the Beira Lake, the temple was originally constructed in the late 19th century. Visitors are advised to take care underfoot, as conditions can be slippery.</t>
  </si>
  <si>
    <t>https://encrypted-tbn0.gstatic.com/images?q=tbn:ANd9GcRM6iVCvyNz8ywqxU9WuqEyTfOUS5NCnVi91cEUclJwug&amp;s=10</t>
  </si>
  <si>
    <t>Gangarama Temple</t>
  </si>
  <si>
    <t>Temple Worship: Offer flowers at the temple. | Museum Visit: See the eclectic collection of artefacts. | Navam Perahera: Visit in February for the procession.</t>
  </si>
  <si>
    <t>Amazing Buddhist temple in the heart of colombo. This houses a number of buddha statues. It also houses a museum of sorts where ant artifacts donated are stored. It remains a relatively quiet, less-touristy spot.</t>
  </si>
  <si>
    <t>https://encrypted-tbn0.gstatic.com/images?q=tbn:ANd9GcSA1-2d2D0idd1HdFU1RJPez6i6kvMltCRXIUqsBgOBLw&amp;s=10</t>
  </si>
  <si>
    <t>Gartmore Falls</t>
  </si>
  <si>
    <t>Waterfall Viewing: See the falls. | Tea Estate Walk: Walk the tea estates. | Photography: Capture the falls.</t>
  </si>
  <si>
    <t>You can go up. I want to ask someone where it ends at the top of the waterfall. If you don't go, you can't go. Visitors are advised to take care underfoot, as conditions can be slippery.</t>
  </si>
  <si>
    <t>https://encrypted-tbn0.gstatic.com/images?q=tbn:ANd9GcSZsw_JxU_IX3dDu_PVVXtjIvR10pJfjqc6dRzaBX6rfQ&amp;s=10</t>
  </si>
  <si>
    <t>Glassaugh Falls</t>
  </si>
  <si>
    <t>Nice waterfall. Quiet place to rest and have your meals. Kids will love this place. Visitors are advised to take care underfoot, as conditions can be slippery.</t>
  </si>
  <si>
    <t>https://encrypted-tbn0.gstatic.com/images?q=tbn:ANd9GcSvImZbNHGfTM-x_1SsRVq0A2SQfMzXgWzO5zKJkZbkkw&amp;s=10</t>
  </si>
  <si>
    <t>Goraka Ella</t>
  </si>
  <si>
    <t>It is a beautiful place to see a water fall near the Colombo gampaha area. The access road is narrow, and bumpers are there. Difficult to reach with low ground clearance vehicles and wider vehicles. Visitors are advised to take care underfoot, as conditions can be slippery.</t>
  </si>
  <si>
    <t>https://encrypted-tbn0.gstatic.com/images?q=tbn:ANd9GcQF88nYbOC23tYkOSZZskS2yWuNwwa_Bqx98xEQcxksHA&amp;s=10</t>
  </si>
  <si>
    <t>Gregory Lake</t>
  </si>
  <si>
    <t>2.5 h</t>
  </si>
  <si>
    <t>Pedal &amp; Swan Boats: Ride boats on the lake. | Horse Riding: Take a horse ride along the lakeside. | Lakeside Picnic: Relax on the lawns with views of the hills. | Jet Ski &amp; Speed Boats: Try water rides on the lake.</t>
  </si>
  <si>
    <t>A prominent reservoir built during the British colonial period, popular for jet-skiing, boat rides, and lakeside recreation.</t>
  </si>
  <si>
    <t>Guruge Park</t>
  </si>
  <si>
    <t>Nature Walk: Walk the park. | Picnic: Relax. | Kids Play: Let children play.</t>
  </si>
  <si>
    <t>Went for the Mayan Theme Park only. Wasn't the first time we visited and this time also was very satisfactory. Lifeguards were very helpful. Visitors are advised to take care underfoot, as conditions can be slippery.</t>
  </si>
  <si>
    <t>https://encrypted-tbn0.gstatic.com/images?q=tbn:ANd9GcTzERvFLto7qfk0UcgGIPTZbK0XvhTANFpodZfQCrziUA&amp;s=10</t>
  </si>
  <si>
    <t>Habuthala Viharaya or Tharulengala Monastery</t>
  </si>
  <si>
    <t>Ampara+C26</t>
  </si>
  <si>
    <t>Cave Temple Visit: Explore the rock-cave shrine and its Buddha statues. | Scenic Views: Enjoy views over the surrounding hill country from the temple grounds. | Meditation: Spend quiet time in the peaceful forest monastery setting.</t>
  </si>
  <si>
    <t>Tharulengala Aranya Senasanaya, also known as Karadahela Viharaya, is a serene forest hermitage located in the Hulanuge area of the Ampara District. Like other forest monasteries in the region, it offers a tranquil, secluded setting for Buddhist meditation amid the eastern dry-zone jungle. It remains primarily a spiritual retreat rather than a mainstream tourist attraction.</t>
  </si>
  <si>
    <t>Hambantota Beach</t>
  </si>
  <si>
    <t>Beach Walk: Walk the long beach. | Sunset Viewing: Watch the sunset. | Fishing Boat Watching: See the fishing boats come in.</t>
  </si>
  <si>
    <t>Hambantota Beach is in the 1th place out of 1 beaches in the Sri Lanka region 166.9 km away from its center, the city of Colombo. It is one of the beaches of Hambantota settlement, just 0.5 km from its center. The beach is located in an urban area. It's a popular local spot for a refreshing bath or swim.</t>
  </si>
  <si>
    <t>https://encrypted-tbn0.gstatic.com/images?q=tbn:ANd9GcSXneigZ0MquxJ7p4HVytGzoC36ByzCUswHRq7fuL4ijg&amp;s=10</t>
  </si>
  <si>
    <t>Hambantota Beach Children Park</t>
  </si>
  <si>
    <t>Kids Play: Let children enjoy the play equipment. | Sea Views: Enjoy the sea breeze. | Picnic: Relax.</t>
  </si>
  <si>
    <t>It's a amesing place to see the beach and playing children's. But not bat. There is hay waves in the hambantota beach.</t>
  </si>
  <si>
    <t>data:image/jpeg;base64,/9j/4AAQSkZJRgABAQAAAQABAAD/2wCEAAkGBxMTEhUTExIWFRUXGBoaFxgYGBofHxkdGh4aHhofGx0gICggGBolIB8YIjEhJikrLi4uGB8zODMtNygtLisBCgoKDg0OGxAQGy0mICItLS0tLS8tLS01LS0tLS0tLS0tLy0tLS0tLS0tLS0tLS0tLS0tLS0tLS0tLS0tLS0tLf/AABEIAOEA4QMBIgACEQEDEQH/xAAcAAACAgMBAQAAAAAAAAAAAAAEBQMGAAECBwj/xABJEAABAgQDBQQIAQoFAwMFAAABAhEAAyExBBJBBSJRYXEGE4GRMkJSobHB0fDhFBUjM1NicpLS8RY0gqKyVJPTB0PiJDVzdML/xAAZAQADAQEBAAAAAAAAAAAAAAABAgMEAAX/xAArEQACAgICAAUDBAMBAAAAAAAAAQIRAyESMQQTMkFRImFxgaGx8BSRwTP/2gAMAwEAAhEDEQA/AKyp4xKSePkYnNePnGCXrvdX/GPYtHkkLCxPuP0jHTz8olVIEdCWPt47kFEfepFgfIxhnfuq8QPrEncjl4kfOO0YUf2MDkcDhSTZLk8hHYS3qAeEGIw40Af71jtUjia/fnHckECQTolPiPxiVSF8h4H6wQMOGv74mkYdRICUlR0YEv8AWF5oZRA5ctR18BT4x13F3fpw8Yf4bs5PmgFMoMdXQ3CGuG7KKBBnKlJTrly5vgH98K8sUOoMpicKfYccWP0juVg1EgJQSToEmPQu7wslIymbMKaskFQfoaePKAJu35o9A5RVv0BJHAUUzeBhPN+EP5ZWcVs2ZKbvUlD2c38HgXKP3vABvjDfHmbiFAqnd7lsChaWe9MoSP7QVguzUx0qWUJH83DQEA+cDmzuAmkFPsKIerUMWDC4PD5CCleZ3zEFgOBBIDwenYCAS3DRDe8qMMJezgQHWp+g+kI5/cdQoU4XCpJNAK6AP73+ENEbMQKueFAlPuCREydnJ1Uo+I+UQYjaeGku81JPshWZXkIRzGUQiTgUp+/wjjF4uRJH6RYTwFXPQCpEKpnaYn9Vh1qHtLVkHhdx5RWNu7XQo98pMvMkeihy55qqH5xOWUpHH8lzPaHDgOkTFdA3xIhFtHak5YImTBLlk0S4FNA7Ak+PhFWxG15hlqKSlA4i6Rxd7jy8DAmF2gFDOoFeYFhXiwOjcXpeIOcmUSih2va8uqZYClpB0U3xD1pCPaOPWpMpUzMCCFMkMCRoCLEXvzhfswLzrVlVUUoSzszcSXHm9Ynx0lQAWvNlDM5KWuQOVR74HTA22MTj3lTUqSVqUoZVr0sCkkcklqs7lrwNsZYzOUuCDQFiMtmJo46jyhfgSVOpQUo5ywAfoKF3ppzjvD41cxC0ZXSDuBq8yHB8ajxhhSxfnDnM/wC6P/JGRVPzTP8AYP8As+kZDUcWbuxwjXdg6AGJCCLhvL4RtS0jX4/KPSbR5qTORK5DwjCluH34RycYgFqv4xGvHB/RPmIR5I/IeLJiHOnkfpHYpq3n+EBzcSTZx747l4VZqx8oXzBuAYVpuWI5X86wThpUskEuRq5Ya0s72sdYHwWCDvQnQHj016QXLwU0ABIrW9/u8I5yZSMUicS8qhkly1AFmUFKfrX4QxTtLFh0oRLQBolGjNZ7fhAuG2ZiXBCetb/KG+GwWIHsgWLuT8IWn7sqkI8BgVh3mrBIL5SeLsdb++CkYFOYkqUDdSiK8X68+cWEYMj0g/MUjhOAUCaAg3uPmY5UGivK2Yl3vq7h/K5idGFUkbrtwBI97ljDmXgVA0JD8n63gpOzU0104PppB5INCnZ0halHPn6sDTqB4Q9QC3yr87QTLQAGAYRXcT2sGbLLllX7yi3kL+bQkpjKLY9EtWoHnAUjbMhU1ckLAmSw6wSAwDPV2o4hLO7VTgK90OYCvmporWK2qkkutzWoDsSVElrmvPWJvIh/L+Qzb3aLvFiWsiWg1CTqA1VEOLtT43hN/iCXm/RIzKABJNAOgv7xcQJgsCiahalzFKUFZ1ZkAqCRTdrlSaVZ3cRrDd2J6VNmzEgKSgAuAaktlBrZNAEjrEm7Y6ddG8ZtRUwutRUOGguzafOFE05iyXPrM+YdWqAKmrRaJGxMOkKmqmKmnMpRSlQGpuVVXpxPKBNoy0FJEsKlggk1WffRI8niXJRdHNfIIpQ7sAulIFUm5NnSlgHNPBuoE2YM4ILkZgBlB3QA+gNyTb30ET9+J0opDBIoQX40DsXFqaQXhcQUggTglyc1Vh2p6pFOHCOclQugHaE1WHQBUu7G/IBwaGlrxzLClB5iVEM9HpYCualteMbxGEmLyEqzBRf+YuQ1kpAfx6xzOlKylJSwdg1HZtXZyL+MFSRzYKqeE5lF8oCEoSDUkADeu1xbwrEsnEKkI3VF1s7EUAqeNeRFLwLlyOpSavugKFDwIa16U0iWRIXMl5StL0Jdx0qRwpD6FB+/R+9/MP6Y3G/zd+8jzjINxCej4CfhvXQCWpmDB/eSX91ILnYaWtnQKXKUuTwY6pc9KUMBbP2JPXXIEjist7rw+wXZyYkgHEMl3ISD5BT0jZ+TNGytytnSF0SvKsFi5BSeGXUeMCTtnhKiCoHlr48DF5mdnsOmqkFR4lRr/ufhHcnY+GFRJS5PrOp2/igaO4FOwCQC6UZmuwf5UhkjGIFJiCOAynnVyL9OEW2QmWn2B7rN7oDxOHzGiklN3DO76DKac3jrHUaAE4bWXLUocCDUDkWLHpB2GMxQDJ7oMxBYnwcfbQZLQlHtV4a9SKc/GJGBtb74x1hNJwygAorKm4+WlIlSlqaa8/GIJ2Ilyw61JQOJIHlAUztDJ9TMs/ug/EtE5SS7HUWw2etQFBSEmK7TypSmWiYFEtbzrr4PV4mn9pkpD90QOKlAfIwk2tthM+WVLmITKFcgZ38RmeJvNFDrG/cejtZhqF1N/CadafCAcV21lg5UJLsSCtgKa0J5Uoa6RTcXipJKRKzLPBTAUdqsSS4sKWeEk5CpqlFiCKNme4LOS1XbiLV0hZZfg7ikWvana2ap094SlrJAS41tUp6xWTt052CiAAR8Pvx0hUnczBYdmDgvQ8dH4iB0IK1bjn5h9OsDvsNsbT9oqfeY6ueHIaxzPn0q7HUEB2r1JrwhzsrY0pkmeAyQTvKIc8hrpaO8bOkzElCcMAjOCCCBYAUbx57xsRWLmguNdgQ2amSjvJicxcsFE1Ao7g5SApqXrDPGYsTCgB0pCaJFAKVpxZ6coHxcwqCUqIIBBZ3eoAzE1UWcV5QPNmiW93OnTgPH3xJz5dHXXRtc1j6NKCqqcbP9vHC9ppUruingdCNDrQ/fGNykTVUSlOVzRQc++IcXgZiTbeDAp5lj7NA1W5QUo3sXYVMKUNmSohhQDX6mA0bUSAQUFDqOo41/GBO6zupSVBiQQ53W4aRONgLKDMObLdyeY0NdfGAuLtMFhH5eiaoAKSL0L8OLtwgibJlP6SUtz4VLCvDzMV8S5ehAN6/T3RzMxZDhSB1+nWHjH4OsY4pKCMzyw4LBjmv7jc+ERbMlSXcqdqEF/NvOvOIsPNmCWZuVOTMElJUkuakbruddPgYKnYbvQSgIlkCoLsSfZOh5VHCKuL6sBz+j9keavrGQD+TTP2g/mH9UZHfqGmfQMssSAAB8okY6tXhx+cckcK9fnAe0cYJSc8xwlwKDi/CNjZNRDa62++UdGWLaRX5Xa+RV0rAHKBMZ24liktBJ4q08BfzECxuLLX3QZhAG2dqysNL7ycWD+Ja7cWDluTCpD02f2txKxlSb6hLe8xX9rzJ88qlnvZqwC6hvIRVmJUG8AT7onOdIbgehq7W4ViULMxvYHkHLJJN+jcYRz9qYiaSozDKluWSkMQNHVd2/tFb7NpCZSSpJLZhmLD1j6rs96XDBoO2ntFOQ5VObBOp8LgRF5rKqKStmjinU4BUfaUSSeDk+MR47ajJYh1NoHNHJ5gMIrmI2lPUn9Gir1Tq3ThasAjakwzcy2JJKSDysbDdqPBoV7WjnP4G+N2wpaFJQkgtwAdrEcaPxhOrGrBfUs3i96sdYjxinUVAlRUSpk2ANnJfpG5ODSlIVNO+4ASoMANC9mFb/ACgpr3J3ZmJxalBkJUFk0YV4UbnwiSQuYoqSSQXBccRe1g2YP0hzlBKQGyMaBgDqHFtTp1jqZOSgACWSSA2QMwa75SPOJvKukgij8mK1AhSSATVxQZqg0oH4+DiLFIwcmWnvCXWokJSl6kX4UgDYODZUzPMNMqiCWp1Fm486tSG+1MQuZvAJDJDUYBxXR4nKYy0rF0wqXiEKUR6NEVDgHmDUODwpE8yWlmC3qKlnA6gsfKE61krzKCSRQOW1fj1iZU8TFKchg1GtQOQLH8YnOVC3YScQGVkOYlNSdGchrPVrHXlC9WIKSe8SrNly005hzV+FBXxiYyAWISC9HYOOrXFqEGscTMNMWdwKJuAEuK3elPK3hDQlZwds/aS0gpScoKgQCXVkazi1XBD/ABq3Tj8RMLp7ypYZQcrmgD2s14qOBQUuoDMoAUq/Nm4X84ZHtBNoO8UQkJ3S7AjgbjjeLLHylQLYfsjs3OmHMs7uZ3UGJq/nz90XASEyxmKlHIkjMpSrNUM9RyLwmxe3ZqZaJilAAoSV0AYqsUkuz77u9hWJdhYpWMQTMFGDkOBm1pr0NqXvGnHjSdInKSirYmkzU4iZMTkBYu26AASQA6hSzhr5oJxvY+UcpSFB7hOnGvo+6LHhdkoAJrc+4t8oIUO7SWNB7RMaljVUZHld2VfFDCSJaJSgonNbvCwpUqUAOIo3hSFO2MIqcoTEpTLkJqyTUgXB3i5sKcRBPaHATpkyqkiWAVqJCmOXiCNARU0rrC7GYSclALZZZDApCW51AAHNucYskHF6NkZ2ifvsL7Ev/szf/JG4S/lp/a/8PpG4Xix9HreN7UTGaTJbms/AD6wk2jNxGIbvFUDsGAAdnYCGaekdlbByQALlTACJPxMmaVhSK9J2IXqqhguTsBi/pdae+J8Vt6Sj1is8Ehvefk8Icf2nmqO6e7TajFuqiL9IHnyYr4odYiSuWHUZSU8VH4C5hJtPtWmWClKgo6MCB7/GEeJ2sV1mTCrqp/ClxXpCrHFEzMEpAVQhhpTnUF+EMpNsnKfwG4na61IBFHqwFN5Re1fGApk9SShwUhVXvqzU1avjG8Hg5q0DKlgihuNXFWdqwfMwooySpbgghRYHjzhZcU6E2+wDDyJpmFgQ1alQD+F7gwX+bFKVmU1g6nUS12D0Z4nnhaJZJunXeINuRKWt9IJ2eMyEk3IBr9Lj+8JKcqtHURTcMHASglv3m87vA2KwZcEEggF6l+Ra14mmT1KWUoUQOLU51ItaGGFwRVbebU2HibQnKSCk30LpGJmLltmUTpmUdyzsmxBEMtkyFqDPm46ADrxgvDSpKcz75DnKmwGrkc390K9o7ZmsUoQZafZykUOtrEaw1ckUUUtsOkyQO9JDKmKF75Q4D9WBjidikgMosGZ7fC8Ik4ybOBCQQQLswYFqez+MHbN2a3+ZCZaR7e8S+uUXHPd8YEk+2BuwWVTdC8zaFIBa3FmvE8nD5wQQKO4TqajnYRNN2CjvAUicXD7oSFByR+rLqAsbAVpFk2f2XShWaYo6boYZgw9K4SXBs7vpDeW3uPYvESbN2clax3knFJW4STTXNZTUAYGotmizBYlyZiJeGW6SUqcpYFTZSSCSpwU8jUaQHiNkzpa0GXMmTJdiM2+mr0UWzCp111gzamOmI70y5S1iYlKSzApWhW6WJJJIIpe0Va+pJjtutFTkzs2IzzHJd+7BIDezWgF/OLkNg4dV0BQ5qUrycloXbK2qrGZ5cyXkZFFBwrQVemvAXhv2cw0uVLQipKkpKllzcP0u+ka8EKuS2v4MWZ8tPRxjRLRh53qgBVAHZty2tRbnC7ZHaaXmKSod0kAIIBdRJqGZxlqLaawN2yxDpCpctUpAcBaVZSq7bqdFHjoHo0IZeE7tSFZyqWpZQJqXSUgADgXSSeDnK71aHc3doHlKqbPSNmzguWFJLuSehJJIPMO0Zi5Ey6SQBf7aKZjJplSssxZUhSszgekFCmbiWF7QrlYuXl7xCFoUDuhRDKPAAhxStDSF/wAh/AV4VPtlhx20ZMmZnKjNzpy2YM2Zqgk6vTUCFe0dtPJTKRLTldiEnNvMXJGgqaDS8VfFY3PMSpaiQkNlBduhHk9NYYYkpUgCWwCgxYFLCj1JLi7j7EZZJPsvDHGPSFv5PI/azPNH9MZEv5i/f9x+kZC8l8j8C9YvtUo5hLCUgeKvDT3GK5itrqmHeUpRbVXwewPKAe6SosUl34kdNW5Qxl4RADZaDQ18zrGTkkc5tibE4tbMi3B3LfT7pEWDcuZiVBLEGoD+dSfqYsSJKRZIHQQNj8KCk1KSzUJ8gHYmGWRdULQsw+ASWPeryBqEAEcAfv5Q2w2AShgEsOZtrYxBsvBhIOYklNE8OBryFvKkFDHJAqWJuH1ZoWUmw0axKpg/V0NGPnT4e+I9nS1oCkqI9J3HNifD8Y7TOzBx7hHSXL016aD7tCW6o4imqrd+vFx+PnEWBxgUsSki9QQGJNXAHBhccY4Vg8QteVKQegoBzMcS9mKlqIBKViu6qrHmaCxo/lFVBcdsKTWx+JMqWpJnKqx3B4M8RbT2vmSUS0hAA3ePF+XgNIU4iSCvemKrxJqdXLUeOZWz0uXUFirge751hfpXuNzfSCNiKXKLoVq6hQ1Iq5Zy0WCbjsKtu+SEL1YFzpcW8fOKoMgVkQCnKpKlF+NAGZzrrxMTIniUsmYlMzRJBINLKSFDKsaNxGjPHeqWgKTQ3xaJBSO6UqSSSQtbgry+qlRISmrbxOhF4HxGLXh1JBRIUrK5KSVKc2Od8yCzMxbVoX4/GS5icyZpWSSS4OYcHrlGooTCtGLQWBLEvRVDdo1wxUtoDaLb2OxROIWT6yD8U+/nFzCooHZJTYlI4hQ9xPyi24/aiZRCQFLmK9GWn0i1ydEpFHJYB4ZjJ6DVT0tVQa1x9iKzt7byAg92HBVVaAKlJdhqa62peIcTgs8wzJqkJVl3gmqUuoMxI31MliQ2jOIlws3Dla0TwRYJs6XGd7MOHuhZaVyBy9kIsJtSYZzylzVAjfzGuUs4BAd7VApxpT0PY81ZlJCgEkAAsX0HvZoo21JMyQZndKSZZFwQks3AkAg/bx1s3b0zviFpUtFFBKG3yyuBZVS/+kcIfDlSfVIj4iMpln2rsIzFuFnMpkoKmOUNmUbPYEAc+cK9pFaZIkpS8veIIsrMXGbgX8K8qm7KxudRmqxACwlTSlApUEipADh7O7Hwiy4LZiwhIckgAFw9hS8aUoyszXKFHn8xalNQpSDQ3zMPFJ6VhPtXCgFSnUoHVVyrUOaltT0F7ejbdwMqSy1qRKdQCtAtOu6LkB2IFIpW1ZZCUHu0FBdQW4LsSVZdetNYxzjxlUWa4NyVtFclSiEqpavSLEUpkrcEArCSoEpKQ4/9tWgPW4azQpw5K94JlqaqkjWulso0L8ReJ8OVroZYKE+jagOYgcw/BtTrHMq6RYO+wv8A1Cv5Vf0xkc/kcv8AYe9f/kjIHGIPpAMLgxLAzHMoDygsGlhHZHGkR5KXp5R592IRrHOOHEYoE8Yz8nLi/SCjiMKJ+/vR4xezwo5jU9bRP3dusdGUSW48BB5P2DRHh5LBnFNaQxkYUJ3plEuNWLKoCOTg84JwuElyQVTVJzAOxqE8HGpMKNo7U74lT7o4Wp0vqa+EckVUVFWxhj9pgJyyxlT8fpCKfPABpdg97O/xfxgDHYs0fMA7VF35cIbbJMjKmZiFqAA9Bi6lMlLApcX1J15RSOOUlaF9TFsrCnOzEhQcAM+rEt8o7Xg1pqlNFUINSHq7HTl9gjH7fy0EiWj1TR1DkXV0LEfCNbRxQRITM79ZWslkAIZIBYg0poRSJ8Jt7KKOJLbf6AxRqpASaXH1r42gXaKyEp9YFykE0S7U0bWD9l7WC9xYJcXIA5V0IelgdaxHtPA7oMt1y6ndGYpNNL/davHRtPYJY01cHf8AIgS6SOHz+zEoKFiofi/hBCdnqILSySWuMpHnT+wgOdg5iBvSyBfMA4HiKRvx510RcJVdDns/LImBKZi0O6UkAKKaVZ6OUumrsS7FmNvyJkIYAkKUEnedSlKLErWXJIFbUagAtStgYvu5qFqIKU5jS5YM3iTDOdtMrDJJQhRJUMz1Nw4ZxwEHJmjECuhjtXaKf0iHCyopyngEgMKM+9m5XvCeetRV3ilFRDVIfhw05dI1kBArQVoHoa83upo0Jo5EMzluNHrXWMOTLKTOCZeMlFZSpCVqY5cyWSk3CiMocDhq7UhkjCYfElS2AWFSwh87TLAhQA3XLkZQBypCKcjIkmZupys7vcmxOscS5olrG/6IToCQRTMHOWh+EUjpfYZSouG2MGoAzJO6P1cxISN1R3SFCtCCGI5GBuzuKXKJTmBzOx+R3siQ+uUcHrCPE7cKkhOdWRPBTZmIJJSBVaquTRz4QZK7VTVAJQoqLPvNoDXMzsKGvswVF9roblbssEja0yZNVImDu1SyFqUtQACQ1QATUuE09p3hZtLZ+GzEZppqsqOjagPX0imt2eB9myZKJ6Z3fyzMObOUjuwCWbK/jvMKsaAV12gmzDMmFAuMwyBwyiXzVJqRy48BDq70B7QQjZyJCBORIQpLlyVlZAGqkswiTAdoSSpSRLl+iB+jSDuuX1Gvuiu4Rc2uYtmoSUgkCupI46P4Qzl4NmLObvb8BHZGK1XQ3/Piv2iP5Jf9MbhJ+Wyv2iP5j9IyEpgOZ0tQV6xSrQEUJ4k0AiTOoTO7NSA+pAGlSBU9KQSUV9EUqOXONqplPA/Jr+PujPdhREoEf3/CNgnUsDwYQMdpk/8At9C8FjDKI4cBf3/hHU12cD4mQs5crF6B3cHj0h7gc0lOaYgk0IULF/geUTbNwaZIzzFeEJNsbVExZDGlkqc+OsNfsWS4q2cbUx5mLJUzUCUuDZ7vTXlCHauJLAMRcByGcg3HL5CNJMxdVEJFKG/HzgTauDWq7uDRiwFtTTy4QYVz2ScrIp+ZIeqlO1dOg0Gn9xBuDE3uyVq3swKTqynKuekcyHCc2YKUkix0IIY+R8zB2zcQklIXRuALuGLhr634CNM5NK4dB7IsLgQp0vnvuBJJcMxoK6V/ERPIwKVzO7WSUzC4KQSRQZSkCpIdm4RbtiowjA5QpbAs5pn9Uh3VUaijjVyT52z0hChKlplLIOVswDtl9UhqFqcXrEopp2Pw0eXJw65ZLAKHsqF2dtLhzEyp805TLTlDWzNduBoOUM5Wy5iSqpDHVkkMSHqqx6M48IJXg5LoQRMUtTFQQ5CanMaBywZQvdrCGUHJ9E0mtirDYqeAFKmKIdikMa+R14RNJxsypO+lnDpAIbiRUU1qOUSL2KEgoExi9Uul3F7qGo8o7wOHXLJMgkrSHYKTmIJIVUKPAOAdaikN5K9+h1lyJ6ZL3UpaO83kgVdIALi+YetpW7cbQoxknuCpKglSFBwU1ChRik8PeKCLJteY0giYlCJpLnKmikrGUqUwbMCGoA+ZJrCBagpCZH6x6hTFpZPD2QdX4AwnFLXaDlab6p+/5BEzSwUkcB0pwf7aGGEb0qgnh9bCAMNImpLZCEgs+UsfFmhtgi5ckEDXNSnQQJRpE+LXZufKHdqCg4VoXPR/FuMRT8Ye4XKRIQobyhNoSD6SyXfeoUjLwFjAG28f+kSCgFItvUI1HLxjUraUtG+ELCiGIenQO/CLY01G6uxuDYmmTsx3iXe54RYezGyJk1TSyDukqDkMBdyAWqzfgYJwWIlzEvkTW6Qzg8QLnpR+IhdiMWvvMpcNYooRwPDLWxtraCm2+PQko1oNxMtKJhkzFZSCQylVe93KaEix08jsBI3nACDSqVFgznxemjWjhOFStDLRn4k6nUvS96QN+ZEiylJHshZaJNx9tA6LZhMRKmBp0sEj1ken7vS6E8I4xux0qph5gSo1aYAHGo0zEDk3OFGEwaiyJZWSSAAFXNtbaw82Xhu6yrngleVUxK82ZJYAu16acSYmuTl9h1tFe/wziPYR/Kj+mMiy/mWd+0/3pjIvX3DSFBW96RGtmOZgPKOUhRrYeb/fjGlyc13J4fThGNChOHmSykKYPoDRjy/tD3Zuz6Z101blziHZOyAlpi7io5QJ2g2qVApTVOvP8IZ0WUUtsXdptvhau7lqoLkXJ0PBoR4aUVHPmJDVdi4NbUJMD4fErKlulyWoEgih/EwSMMCxoh/ZN6cafDWBP6dEnJt2HYSRnWEoKctyS26kAlRvQ090CKxMmf6jEhqHKzAs7UJJrmIfyifBbOBzDvACUTG4KUbUOuj8xCyQuWTUknp5+LmBFJK0B9Dnszs/vcQJC86ETFEEBRykIClA2IegDs9TeM29hZaJhRJSoD2i9QpILP72B1rpB3Y6X/8AUL9pEmap9fRCXJ8RC3tAVCeqhUAE9HCUpb7ECPisjy8V8DtJRsGwmaUokLU+YEOWISGIAZvsUi89lVzJiCmaapCS5Z8qhR+JvU8YqWy8PLylUxJm5CEgBValRLsKigFvWh32UUBOyrTMKi4AVnZDFWbQJAolO8/o82jXhhzdyYnJpWi6d0LADqwhVjtkSZh3ionUJWQTxfKxb3UhrNlZgQ5AiDDbMCVO5j1IxilRhnOTYrxk9UsJQlKkS0sHBq3B9PjFanYqX+UZ8NLUZop+lG7VwSq6jegpXU2PoEyxo9fOFGMnrQXCkpHskBz4CsVXGqaJ3JSTTKhiMNiAFmeglK05c6UOzKCh3g9IgWBre0KZRUiUcuZIWxCiQUskh3I9YajR/CLnM2ulS8pCQo7oWAxFRTM5Zzp+MdYfY8mbiMqpZcpOdgwO66XajihZqOHFYx5MMJLT69jVDLK/q9ytlYCkLWtMweqUqVZmLlLkJHHj5RrBrwu+ZiiSouEkqOUO90gZi9XYfOLBjexagMstScjuwSQo/wATKY+AHSBU9it0kmo0ZVuPpRPyZN6otLKhFOElRmFExCEZbJQkVDu6WDu5sQXERzZ6VBCSEkS0CpR6W6QKM6gCLHq0PkdkAoZUrBVru8/WU5jvB9lVKSmb3xJIBzORSyXIFRkb8awJLJEEWpdFdx2yJPcpUFlK1ryhFgmtSoAPl4U1alYgRgpmHmDNkKlpsN6yspfmOHAcousnsussVLQS75iHJ4OLfKGGE7PiTOlFBADLJSwI9U7pLlKQbB4Vu0USaKRhMu845ghT+II18IJQsK9E5mv+MXPtDsjDGXMnTJSXSlSiQSCWBoWYF7Ve8VrA7RVhJau7UzJD6hRSA7kg3UW5PEfKbOpDrAYUYeQuYrdnFJAf1HG6kfvmhPARWNr7bUVJmpCVJSFDKAGSkAMkkMrK4FDevOLb2hkd+JPdSlOUmYSFMMpYMQARVwXFd2KxtfYiBMyyyZZWDnlqUCkpBTQLZyHL2elzozhS/AGysf4jX+yH34RkNvzWPYH/AHf/AIxkJ5kDtjvC4NSzuj8IbpwMrDgKWpzw59ImxW0US05JIBNn0H1MIp7qLqLnn8uEZrorqP5JtpbSz0snh9Yre1p5ASQHSDVjbwgrHbQQlWWpa7fLjCWTiCFKBBVVwQzJD0p9YFPsnKVk2FIKE93ugnn5jU8InxJSQ1i7kKFfj066RwrMTVkux9xe1w7WtEeOzISCVBRdgfGvQfQwI+oU4lzV0ymoVfUCnF41iJXdq7xLEFgseyrQ+NLcYmlzWBUaMQebAcr6e+8QoXnfLlI5jQ8denuii7arRxZeyOKAmzAQAFyVpQr2jmBbrlCqchxgDbeHafMzE1JVo2VRJSeYuPAwoUlUnKp1JS4KVAh0kH0SDY8DFgG35UyWPyiU+UekkVFN5g9KXY+EZsmKePJzirT/ALoomnHixbhEpTMGYboUkqID6h2D2Z+EPMNPl4iZlGIKAgFSSg17yYtVT7TBt2hZR5xW14+VnaWklDm4DgaGjM/IebtBOGxvdl0JaxKyHoxseDdNNQG0xySgrSJ/YvGF2pMkpmJnKQpctKSGOUFKqAksQkuCCG4cRDjB4sTZaV5VJcOyqH+3OKRs7bM6ZiEqmuUAKR6IYuUqyBt02NKak6mLvLxiCalq8RXy0j1/DZHkxJtbMmaNT70EKS4a/jWA/wAhlIBUoBhUk6AVrBSJ4Po16W87RBjZuVJKhRw4Fb9aeEXVknRUcdgsROUV9yiWh93MSCQQ1QFUYMWgLskrFTZwCJhISFKU6lMp2eoKTWgFaMBaLwlSVDMkg8Tr0L1gbsnJMnDITTMoBSiOY/v5xnniuVl8c6Q12ZhpiENNXmU5epI8Cp1NyJPWMxSAR6Obk/28dZ3uYhxmICEKWo0SCTYW6wVGh3KxftHMiUoJASVMgEGoMwhINmLFT+EHS5YAAAoAwHIQjG3ZM+ZJQlRqoKqGFEkhueYoh+VACrAR1pnbRwEsa0B++ECbVxQRMQywjcmF1V1lCg1LE6RrbePlyZZVMPIAByT08IqGGx6pUxc2Z3U+WmiqOtIUXTTLuqqA1j74zzSizQnaM21tUmWoHvJjkZiWYJBdm0BYP1aK7PnzJrAsXNgNSSfp7oZdpNuypiXlLOYuUpCcuUhyElr0ew1HOGf/AKfYOQuWFqZcxJdIfhoBYh7dY6UhUO+xe0V94ZS5C5ZTLShyCwEsm76kqJp8oE7aKQtCp3eJRlWESwPSPdlQURqMyyoUeiEnWE3aDbilBZOJTQsESyfFrAgMampvqBG9l7HCM0+eUmUgVZWZwW8N6160FXheXyF76AfyZX/Un/szf6YyLD/jLB/9Mn+Uf0xkJR1IjCmgLHY5MsOT0AuekdYicwhbPngneYjmIyRjbC3Qs2hj1zE7qCK0OniflHWz2Kbupqvzdxz08jE+L2llDFIMs06no/hAuzpSGUAxNWu+rVNBpByenqhX2EKGaW4SElNQyjxD1e17ecSY0Z05RcerrTxq1o3sxLpcs9iTrw+X4RIhgwsWsfc3KjRNd/gALhcNmoskp0PDl1/CDlyghKUgcieJ4nhGpyhQ2Achj18fCAMdtJALBZGtQR0fnGvw0FlyKMnSfYs5SjFuKtkk2Sk95mWUqyUSQClbGx4FtfeIU4mbmAKTlJenx1oOfKHn5rnLklYlKWGoaP4B83OnCK/JwKlKAAKiSwA4mN/i/C4sU0oStfwTwZMk43ONf9BhmC2VQ86e+LlsXYSlylTJysskH0i7klwMlDUqyh282iKfsY4bCpVMQFKMxrA5QxIzOHctTh1iLAYifPmSpZWspzghDmhBNUvYgPQM8dHwLzYnkTVL2/H8HTzqE+DRfNjpwqkES0oSU0ANS5uKsXcF+Y4vHS8AsqSDq7sAAkDpEGxNuSlzhJTVMsHKpThRVSmUh0gB6E5uMWPM8d4ab4i+IgrF2Gw1LkOHBHP3H8Yj2tNIlEEuSQHs+vyhitkilGhFis2IVuDdFATbmX18I0rbMz0hHjdqdylSsxBZg3Ogfk8MtidpULQN0gDddrMBQjo1o3iuywUyjMZQ1ygjoxvG0gSUZUo70+0UgJD+yAAPK/EwJW5fYaNKP3GUrbkuubdA1uCPi/KK/wBoMemdLWe9ZPo7s0MoE0CpSgGLau7jVo5xe5WaAAasR9tFYRtGZLzTELCUk5SgCpawIN3u9oh4i0qRbDb2xtKxgwpSpSkqyBh+jBUthbvHzeQy6VYxPt/tEqdJH6NSUXWa0eje9q8bCKtil94QVEIITdwSA+UBg2UMWPh4nflYJ3F0OpBIYCzB+Z4xic5KNGldlg7OyDipU9MyYrInKpyosPSzVVYUHSIdp4TCynXLM1UwoJQQHSANSpXMEuK2bSM2suTJwiJUqZndYMwMpJtQsQGSCAGNKBuMKMZtxapZClElsoHK16NSka8Hg3PF5jkqI5PEqM+HF/kVzsUCQpeVRAqEgJcGgS4u1DRvCGUnFoyZFpKAPRD+i9CCPWcONIVyUSyrLlLoQovxII89T48ol2diiM6SAcwArVg4L8zQe+IZePa/qKJsmlKlZlJXKSsg0KXAIBZwQRw+sBKx293clRCVFi+twxAoQL9QIOx+y5k1OaWWCQHDsPA/L7MOzNjqSVKWlmDjg2tr/wB7xJNNWMF97gv2Px+sbiGvsH+WNQ2wljURCvH4dSywACeJ18NIsuA2YmclbTMsweikihGtdTow1aJ14ALBlS0ZUBYC581JCgbZW0rYaukGtTkja2PVlH2lsuYJaRLlqIOoBqU3Y6t7on2Zhgx3DnCaqNQoGxGo/vaHWO2suVKVJUQpiUgC6QBos0CTTdFa11TFZlKnZisOWFDYAhvdyik8U5QEdWE4RO6QlLAnS9DyuD93ibESAWoOpa945w8hYGa+YO1bl+W9TXX3wNtDaDpOShBYuajlz6xGPLlSAETyyWFAEtrZhbzgOds9aqMyVXJ8LOXMb2EhSiVK9HV9fw+kO5xG6AL0t8BFItxdBRNsDaOJlyzKEsTCCEoU7lzxHpKet+BuLMZ+yZ0qV3ql5cQVUKWLKPpZzqCKMKBzesO8PsMSpJ7qYEzVBjNKC4FyEj1Olz1qJu7lzJXck5txIVlcGocHiDQnLo1aX0XfqK22qPNMRj1qnkYp8xYDgL2AplPL6w/nTZUhMtMmYBMLKWpICksRYkVY0FCxvEE2UcUsIkSAlMshiqpBDNnUp+HoDibsIMxXZFZGZRSZhbLLSRLToOClKAGpAJa8UU5TXGHRNyjHcisYGYRPSpBAZRUcooBra3BuYEepYbaaVnKkF+dB9TCDZvZwSgTMbKneyIBAJDkFRJKlto5bVhBeztnzQsLKQA9a/KNmHFxjvsw5cltUO1Sn9I5uWnl9XhbtZJplKnNgKAAQ3QI1NIEVutiVeisSFzeoSoOL158fGLEd4JLc+haI1poQEAA6dYjm4xKKK3eAu/QCpiTzwk6TKLBOK2il9rZylFYNEiaE/wCwMOQcmKlKnK3lqOVmNGAFCEAcDfwB1i3bRx0qe+QFQMzOSQQGSkB34MNKwgOBSiUtSgTSo0ewPg7RkyTjyZqUairFYKVBTBtA2tvMQco5QwTvoOZQ9oGngdPHi8LShg4IyhRANtDpwvDPDTpRNVgKUijVHC415QyxRlFu+q18r3ElKSapC2RtUhKkZakBIOobqKc+No4mKYgEu2nPV+jRDtFYXMKkO1n4saGMw2FWsHKgqIqeRNPGDkioNxi9HRdq2gtDhWYuMwyhuZ94oxHAmGmydnFQJFFNRjZrR1gdkOlPenLlDAvTM5d9OGsOsHJThkZlKcm/AaU4xknL2RQAlTFJlgzVFOWnokhkk1YdTXmeMcbQ20EIGQBbj0kl0kNdrhXEPTnDdc7MnMbQhnbOl5VzJagSrcYMzqOUsGfW44Q+OcaaaFcbadgX+I5v7nkr6xuG3+H18R7o3DebH5Go9JKJaFLX3eUljMPomXrmB9RBuT6Ru1DAOPnlY3SzukrSGCg10oI3da1Jfgzc4pREwJWc26e7Isviok+moH1rai8dAHjm4ly1bWv4QuLGqtjuXsVmdsTMqsy7sNW1uW8YbK2aQkSxlCK0rYjoXpoKGsFoG8C2vTr/AKb+fKCZqyJa8gGfKGeztTi/FhxjQ99iFIn7MXIWQcykVIDuQ3FqjToDAU/BozqUE5g3G4Gl2JNLcLQx2vjkqQlSx3eIlnKpLcXVmF2Jq/WEc7Gq0SSlYe1QPC3XrGGcZcnWhmh9gJ6CQlJFhpx4jQO7xmFx2WYFIICkrq5FK1ctTg/OKhLxZQsEAoy3538WLQ72XjGmidLSopJ9EDNvA6agVfT3RGWJx2BMvm0u0sru2lTBmLBKlA5QauTRwBUubtTnWdsL3JapamVlzK31ZsxcKNbA7vEm3W1YWYqfKInyVjOS6dW0zFRof4WaFXauVJJlhMpZKUqORCkp3c1XLKcOCWF2JpF7tFWi0bBwKZOFlJTR0uSLkm8E5QLAB/M/UxWuym10TpYKRlUGQU3YJBylRZ7C5LRZQY9PEqgjBl9TIpstwRoYlAjCI3FUSNkRVds7XUnEpQhjlSXB4n5gN5mLJiSShTXajfWKVtPCLw65eIKQoAstIqwPz16htY6Ubi0GMqkh9hdrqWtKCyaF2BcngLgeUHGSl7V46nqTWA9mYeUpPeIVnSpik0oL+Gog5S60jyclXSPVhfuVDtPgRLm0olYzNzBD9bjxhMteUpzDvEuQocRlLf7sv2Ye9uMYnvEBlZkJu26cwoHHT3GPP8XtJZdt1xoo8QaixFqRTCovIuW0qshlt3Q1m4aVMzJSMrkK5D0hQOaVFHgD8wzAACgZalKg28Aw93zix9hv0hmpmIBC0B95hS1dLuBx6R1tFKsPMAUcyahCtGcluRcml49HxmTE4XjjTv8AYyYIZYv63ar9xLs/ZiZiCCGWk7v4wzmIGVJTLHfCjO3ifpBWFn5klRS2jatx5RXdoyQFtJJzesXt1Pyjy7cmaaD5E90qE0EJ39Czuo8w4VTpCU7SKkhIU6UqArfiDxNYZjAlUsCZMCkmuUECtbEUGkIJ2AEol0qzEqyssBw9DYuPi0GKTYS27Lwip6Mhm7u89Rm1ACQQ6mLOajm8LE4BeHmpVNfKk7rBweFOPI2hPh9oLCgoKKFJoCmnvFuMOcftadOlBCt0esRQLrr9B1iyjFRoGxr/AIn/AHD/ADiMis/6h5GNxLyog2exLSkoKSCmWSMizeWuwCiA5LuAgUBJSbphXjMb3IV3hyrBGZJ9ZxQgPQEDqLQfiMZKTLM0kd2olExIyllWIlJ8gVXIII0jzrtRthUyZLADIS+V6kv7RNCo6nUhy8JBtPRWVUOpvaUlToylIYEXqXq/T7MM8NtEzw5ZS67oBASKVUdATpUmKLJmry521dnYGgNBrqWg/Z+OVLJKSKkVYF70s46v8YmskoytuxbDO1ktYyK3iRRSiHvwFkgUYMKNwoiThFqdUh1JSCSdWo5y8K9aRekK76W6XSalSXBcKHrUcpNfI8oXr2eqSkrl5iMrzasHzMGHCtqt5xon9UeUQqrKmjAzZ1MhK1NlZ7adXq0WXspsZBL75UwDNQKILmpSCKLaunhBGHnMFKlyyQGUpW6Sk6nLcDw48aT7PRJCpc87oBPeJADghylgTUH5Rm8x1TQ6hTLR3ISgAJIITRxJD0d9YpkrbSu5KRJQZiFhCVqICglBChod2qk0LGtKl7IuWtUxSZYMtGIlupczKyXcFgk3Lhns/OlPO6opoQCz9OunlDp6o6cmSzivDr/KsP6Cj+kR7JNWPK7Hl1AuWw+0EqeKKYtVJuPw5xUpOIKTmSWoxBsRwI1HKJj2Z7yWMRL/AELk7qS7gFnSC1XcAPwvGnFka0SlFT7L5iMQlAK1KAS1THSZrhwXBqDxEeZDbU+S8vvFrclNWoRfidQ92ifY3aOYkCWV5UA5UkBzqB0LtTwi3+Sr2iPkfDPRVrpdhzhBtfa0tigMt6HUfj92iu4mViVE9/PpwLIcfw+kroAYTbT2gmXuSycwapDD/SDU9S3TWEn4lvUSsMEY7kw/Zm0p8mbNmE7ijmyZtCaH90kAtZyKtSLughWVSXIUApPpFwbVLJBjzzAYyZJnypqUJUcqnzE63NbG1Rf42TDbVSoqTNCFLKUmUjMSgggbgQDkq/Wpu0Z5fUkVjKmc9qZoKkzEo75DBMwJ0ZyDnslYBNA9y4YvFU2ts4TSkyJJloAcks5CgkpcBnpV9Xi0bbx+SSFzEpEwgAS0miSlw5SfSVSp5jQRU5W0pgLlIUl3Iq44VBt4UfSG+pLXYstsb9mFHDhaz6JSQQ1SrNKygfzK50i3YrDS1J7uZlKmBKCa+HMHhHm2FxxzLZK95SSkBQoUnMoqcuQwHleL5g+zP5VK7xSlS5xXmJela0Apw8tIrinLpk2rF2P2PN9QGZLtkSWI/i1UP4fKK1OknvMugaiQW5AC5j1HBYHIvIohSwkKJDj3F4R9pMP309SO7CQlOYzLG1yaONAP7HpQS6Cjz/H41ZISkZUUZLXJ15xPh5iZqO7mFi+4rgWAFdElkv56R3j5ndqyJmy5jsWABYlnqKPXjoYjQtMzdUkoXRlPu/6qOm44wlfSAjk7AK0LObJMQplA2ytw1NDy3ecEbKwSVMhfop6ipd9Xv5NzgpM9UpaZizmExOV0qBAIICjQ3Zw/OFuzZilkqJOU8zxuDVq+bCJucnsYffmCT7R9/wBIyAe7/fV/OP6YyFt/IodqOp/4ws276Uv+IfGMjIVeocnxV5nQfExyv0j1/ojIyIP2AWHsr+rm/wAR/wCIhvK1/wBfxEZGRuwf+f8AsAg7G/50/wD4R8BDzZ//ANvX0R8oyMjDl9jQuv8AZnYz9YP4U/FULO0/+ZX/AKv+a4yMi0ehJdC5Vz4Rf8B+owv8KfgYyMi+D1MmeV4v009PlGtl/qlePxEZGQI9f37hHGI9NfUwm29ZHWNxkJD1AkTK9X+AxHhfST/+wn4xqMikRTW3v81N6wXs30JnQfBUZGQZ+kPuB7P/AM9L6J+Ai99hfSndYyMhV6ojMdTv8yr+FPwik/8AqN+vR/CPnGRkaZClRxH6xP8ACY3j/wBX4J//AJjIyE9jjmf/AJeX/Er4phtsH/LHor/iIyMiMuv1CKIyMjIYJ//Z</t>
  </si>
  <si>
    <t>Hambantota Port View</t>
  </si>
  <si>
    <t>Port Viewing: See the huge port and ships. | Photography: Capture the ships. | Sunset: Watch the sunset.</t>
  </si>
  <si>
    <t>This is a beautiful port located at Southern Srilanka. It has good number of jetties and wildlife all around. The port is being developed slowly.</t>
  </si>
  <si>
    <t>https://encrypted-tbn0.gstatic.com/images?q=tbn:ANd9GcRGxtHHmFllvXH4OuK0KVAHSYNkxR_gHY240ZgEFomufw&amp;s=10</t>
  </si>
  <si>
    <t>Hamilton Canal</t>
  </si>
  <si>
    <t>Canal Boat Ride: Cruise the Dutch-built canal past fishing villages and mangroves. | Cycling: Ride along the canal banks. | Village Life Watching: See fishermen at work along the water.</t>
  </si>
  <si>
    <t>The Hamilton Canal, built by the Dutch in the 18th century and later extended under British Governor Hamilton, runs along Sri Lanka's west coast connecting Colombo to Puttalam, historically used to transport goods such as cinnamon, coconut, and salt. Sections of the canal, particularly around Negombo and Gampaha, remain scenic waterways used for boat trips and fishing today. It stands as an enduring example of colonial-era engineering that continues to serve coastal communities.</t>
  </si>
  <si>
    <t>Hamilton Canal Park</t>
  </si>
  <si>
    <t>Canal Walk: Walk along the canal. | Boat Ride: Take a boat ride. | Picnic: Relax by the water.</t>
  </si>
  <si>
    <t>It's beautiful place. It's small bridge which is built by cable. Once you walk over there, it shakes. It's a popular local spot for a refreshing bath or swim.</t>
  </si>
  <si>
    <t>https://encrypted-tbn0.gstatic.com/images?q=tbn:ANd9GcRT4U6Ac57bySQ3R2-ZdRoyTYP4ibxHD-olrb1fsURkCw&amp;s=10</t>
  </si>
  <si>
    <t>Henarathgoda Botanical Garden</t>
  </si>
  <si>
    <t>Garden Walk: Stroll the shaded paths among giant trees. | First Rubber Tree Site: See where Asia's first rubber trees were planted. | Picnic: Relax on the lawns.</t>
  </si>
  <si>
    <t>Henarathgoda Botanical Garden in Gampaha, established by the British in 1876, holds historical significance as the site of Sri Lanka's first rubber trees, imported from Kew Gardens in London and later propagated across South and Southeast Asia's rubber plantations. The garden today features a wide collection of tropical trees, palms, and orchids across its grounds. It remains an important site in the global history of the rubber industry as well as a peaceful garden to visit.</t>
  </si>
  <si>
    <t>Higurujaya Temple</t>
  </si>
  <si>
    <t>Temple Worship: Offer flowers and light oil lamps at the shrine. | Heritage Viewing: Admire the Buddha statues and temple paintings. | Peaceful Retreat: Enjoy a quiet moment in the calm temple grounds.</t>
  </si>
  <si>
    <t>A historic village temple known for its traditional Buddhist murals, sculptures, and quiet spiritual atmosphere.</t>
  </si>
  <si>
    <t>Hikkaduwa Beach</t>
  </si>
  <si>
    <t>Coral Reef Snorkeling: Swim over the shallow coral sanctuary to spot colourful reef fish close to shore. | Sea Turtle Encounters: Wade in the shallows where wild green turtles come to feed near the beach. | Surfing Sessions: Rent a board or take a lesson at the beginner-friendly and reef breaks. | Glass-Bottom Boat Ride: Cruise over the reef to view coral gardens without getting wet.</t>
  </si>
  <si>
    <t>Hikkaduwa is one of the best surfing spots in Sri Lanka, offering a clear hot water base. The waves vary in size from 4 to 11 feet. Surfing in the Hikkaduwa area is fairly well known and gets the best surfing during its dry season, which is from November to March. There are 4 hotspots in Hikkaduwa. Scuba diving and diving in clear waters are a major past time along this stretch and is the most ecological way to see the colorful fish that dart around. The coral sanctuary along the coast of Hikkaduwa is a large shallow body of water surrounded by a reef, decorated with layers of multicolored corals, and is home to countless colorful fish. Off the beach there is a collection of small islets surrounded by beautiful coral formations. Many species of fish and large turtles are found here. There are more than four different shipwrecks for diving enthusiasts to explore as well as diving shops offering PADI courses and equipment
There are so many hotels, shops, bars, restaurants and guest houses. The beaches are beautiful and wide and swimming is safe here, although the currents are stronger when it comes south of Hikkaduwa. The impressive coral reef lies just offshore and is still populated with exotic fish and sea turtles. Glass bottom boats are available for visitors who want to admire the wonders of deep while keeping their feet dry! After a short distance south of the center of the reef, it decreases and begins a wider sandy beach with good waves ideal for board surfing and body surfing. There are many shops selling masks, jewelry, jewelry, batik, antiques and etc. with several Buddhist temples, all of which add spices to life in Hikkaduwa.</t>
  </si>
  <si>
    <t>Hiriketiya Beach</t>
  </si>
  <si>
    <t>Surfing: Surf the horseshoe bay's beginner and reef breaks. | Swimming: Swim in the calmer corners of the bay. | Beach Cafes: Relax in the laid-back cafes.</t>
  </si>
  <si>
    <t>Good location for surfing. Bay is very much picturesque and got few places to eat and drink. Got surfing boards and lessons on offer by the beach. It's a popular local spot for a refreshing bath or swim.</t>
  </si>
  <si>
    <t>https://encrypted-tbn0.gstatic.com/images?q=tbn:ANd9GcS4Ko4DQoDiaBGm5Bm64_OQ5o4s-_GZhDEnlH-eCq2VtA&amp;s=10</t>
  </si>
  <si>
    <t>Historical Mansion Meseum</t>
  </si>
  <si>
    <t>Museum Tour: See antiques, old typewriters and colonial artefacts. | Gem Viewing: See gems. | Lace Making: Watch lace-making.</t>
  </si>
  <si>
    <t>A unique little place! It is a colonial house that houses a whole series of historical and vintage objects from the area! Very nice! It remains a relatively quiet, less-touristy spot.</t>
  </si>
  <si>
    <t>https://encrypted-tbn0.gstatic.com/images?q=tbn:ANd9GcSCzb1uGkiiCToF-9S78KWhCJAGwY3nwTJhPmTqWpASSg&amp;s=10</t>
  </si>
  <si>
    <t>Horagolla National Park</t>
  </si>
  <si>
    <t>Nature Walk: Walk the forest trails. | Birdwatching: Spot birds. | Walawwa Visit: See the Bandaranaike family mansion nearby.</t>
  </si>
  <si>
    <t>Natural forest in Nittabuwa area. But there are only tall trees. It takes about 1 h to walking the whole area. It draws a steady stream of local visitors, especially on weekends.</t>
  </si>
  <si>
    <t>https://encrypted-tbn0.gstatic.com/images?q=tbn:ANd9GcSv-jddf3KoimM0fD7W8wrwi0-zQCttg65D1Ug2RVPAqw&amp;s=10</t>
  </si>
  <si>
    <t>Horton Plains</t>
  </si>
  <si>
    <t>World's End Hike: Walk the 9 km loop to the dramatic cliff drop. | Baker's Falls: Visit the waterfall. | Sambar Deer Spotting: See sambar deer. | Birdwatching: Spot endemic highland birds.</t>
  </si>
  <si>
    <t>Horton Plains National Park, high in the central highlands near Nuwara Eliya, is a montane grassland and cloud-forest plateau best known for World's End, a sheer escarpment offering dramatic views that drop nearly 900 metres to the plains below. The park is also home to Baker's Falls and supports endemic wildlife including sambar deer and the Horton Plains slender loris. Visitors typically hike the plateau's circular trail in the early morning before clouds roll in and obscure the views.</t>
  </si>
  <si>
    <t>Horton plains national park</t>
  </si>
  <si>
    <t>Wonderful place in Sri Lanka. Cool weather and pure air. This place has never been unclean. Reaching it typically involves a short hike or a climb up steps.</t>
  </si>
  <si>
    <t>https://encrypted-tbn0.gstatic.com/images?q=tbn:ANd9GcRytvYpelBNXwpSaFQb5Bugwg-j-L-wnIa2azEFEdv5IQ&amp;s=10</t>
  </si>
  <si>
    <t>Hulangala mini world end entrance</t>
  </si>
  <si>
    <t>Trail Start: Begin the hike to the viewpoint. | Nature Walk: Enjoy the trail. | Photography: Capture the scenery.</t>
  </si>
  <si>
    <t>A best place for hiking with friends. There are about 2.5 km from the entrance to hulangala top view. I hiked through this with friends. Visitors are advised to take care underfoot, as conditions can be slippery.</t>
  </si>
  <si>
    <t>https://encrypted-tbn0.gstatic.com/images?q=tbn:ANd9GcRSixPcAZ-Bi2Bi5Jm1ct75IvxRQDjCePEbk0bIUuso1A&amp;s=10</t>
  </si>
  <si>
    <t>Hulangala mini world's end view</t>
  </si>
  <si>
    <t>Cliff-Edge Viewpoint: Enjoy the sheer drop and valley views. | Photography: Capture the scenery. | Picnic: Relax at the top.</t>
  </si>
  <si>
    <t>It's a bit difficult to drive on the road, but the view from the top is very beautiful &amp; stunning weather. There is a strong wind so watch out for skinny people. You can pitch tents and stay for a day. Visitors are advised to take care underfoot, as conditions can be slippery.</t>
  </si>
  <si>
    <t>Hummanaya Blow Hole</t>
  </si>
  <si>
    <t>Blowhole Viewing: Watch seawater shoot high into the air. | Fishing Village Walk: Walk through the village. | Photography: Capture the spray.</t>
  </si>
  <si>
    <t>Located near the fishing village of Kudawella in the Matara District, Hummanaya is Sri Lanka's only known blowhole and is often cited as the second-largest in the world. Powerful waves force seawater through a narrow opening in the coastal rock, sending a jet of spray up to 25-30 metres into the air with a distinctive rumbling "hoo" sound beforehand. It's most dramatic during rough seas or the monsoon season, and a short walk from the entrance leads to a viewing platform.</t>
  </si>
  <si>
    <t>https://encrypted-tbn0.gstatic.com/images?q=tbn:ANd9GcSHiWStnk5_2JnaXkPHjC4ry3_mCt5BToJ269UN7T2jow&amp;s=10</t>
  </si>
  <si>
    <t>Hunnasgiriya water falls</t>
  </si>
  <si>
    <t>Waterfall Viewing: See the falls. | Hike: Walk the trail. | Photography: Capture the falls.</t>
  </si>
  <si>
    <t>Hunnas waterfall is located about 22 km from Kandy city, Sri Lanka. However this is located in Matale District, Elkaduwa village. There are two roads to reach Hunnas waterfall.</t>
  </si>
  <si>
    <t>https://encrypted-tbn0.gstatic.com/images?q=tbn:ANd9GcRDjBuaOp89z4xnJKaqLxeriVL6e1gdGamIQqMfQSaSIw&amp;s=10</t>
  </si>
  <si>
    <t>Ibbagala rajamaha viharaya</t>
  </si>
  <si>
    <t>Rock Temple Climb: Climb to the temple on the rock. | Views: Enjoy views over Kurunegala. | Heritage Viewing: See the shrines.</t>
  </si>
  <si>
    <t>Sri Buddha year 1846 during the reign of King Bhuvanekabahu. It is a very old shrine built to fulfill the desire of his mother to worship Sri Padasthana. From this place, which is a perfect place of worship with historical value, you can see the entire Kurunegala district.</t>
  </si>
  <si>
    <t>data:image/jpeg;base64,/9j/4AAQSkZJRgABAQAAAQABAAD/2wCEAA0JCgsKCA0LCgsODg0PEyAVExISEyccHhcgLikxMC4pLSwzOko+MzZGNywtQFdBRkxOUlNSMj5aYVpQYEpRUk8BDg4OExETJhUVJk81LTVPT09PT09PT09PT09PT09PT09PT09PT09PT09PT09PT09PT09PT09PT09PT09PT09PT//AABEIAIoA9gMBIgACEQEDEQH/xAAbAAACAwEBAQAAAAAAAAAAAAAEBQIDBgEAB//EAEIQAAIBAwIEBAIIBQEFCQEAAAECAwAEERIhBRMxQSJRYXEGgRQjMpGhwdHwQlJiseEVNHKCkqIWJDM1RFNjwvEH/8QAGQEAAwEBAQAAAAAAAAAAAAAAAQIDAAQF/8QAIxEAAgICAgIDAQEBAAAAAAAAAAECEQMhEjFBURMiYXFSFP/aAAwDAQACEQMRAD8A2bcXtUkdJCwKYGcdaOUBhnrmsbbsLhGVZdPLbIJOc9acW3FUEccEaAFNic5zj8668mPjpHHDJ/odlDjY17SaVWnF0RSs0jO3UbdOu1Qk42+tlhRMA7ZqVNFOcRvVisMUBFxa1mwGJQ479M+VGd9ulZ/oyafRYTXsjG9eHSvGlGIsuelVEVdmokjHSigNIpIrmmrNOTUtO1NYtFIWunwjParCMb0FBxK3nZwjYVcYJ/iPlWsBC4WK7t8SHQdWNxv8vlSWaJVgcI2FzpOe/wB/b99qJ4ko+malYRxSeLWvc+dCXMnLQLrRwOzeIfh79fSnVE5CO5jYyARnxHfUG6nvS+VyG0nzIO/U+VPAkYu8XDB4QNjrC4z+OaUziBmxBqOk/YUd/U+Vc+SFbNFAUdrdsWCxsSdiQ3Qbn8qJuuHT3rPFGyRwjGknv93ejba3aGMs3idtiSTgVdq1KY4iQFHXG1cyxtu2XjgvciqGCKytlggB1jdmY50+1W306rYEavE2wqmScoCyQs2pSqnzx/8AtLebdTwOHRV0KT66v2apKFqi0knHiBSxBQwZC7SKR/u7bE/ePupesQabEjlf6iM7CnEs07QLGkiFVVTlRuNyd66otnu4IpMkMyhRjqWO/wDmpqDSIxxtAFrYCS/aCXxMIi+lTvn1q+eGWBFBGEGnwhvwz+NXWtwIZ554vq2clQW6kZ6/2oWZ5OXqdg6sxwB6bZ/GhJWyrxJo7LcCJIo43iOVbU4Oo9ehoWa4eK4aIFcHDAkZJBqpYyH7EZ3z2qF64VxpJOFGG/SmhFLQIx4rRJb1y5MiK4Axhh0qcs9uNyQ2VG+fED3GO/vtS8HUcsfnUWBwCarSMXtNzWwiscb16rOEx67pvDkaD/cV6tpGo+lxPDFZRpIhJdc60BODnpVDQvGQxbAJySM1Y07pEImRWZDjIFUsX17EBQdxjAG9d7ybPP0EgRxoWlLDUNjn8a4WhJQnOT2B60DJICC0hGknPXfPtQouyrLpwB12FaEJT3exeQ3nlSNtKuAwzkf26014VxVzPHFNKoi06cttg1n4bi3m0vOBqAx061wpHGjGNsnONLHr7VlT+klsdTa2j6KuSKlilHwzNNLYkSgadXgbPWnODXNNcXR1x2rIEVEoatxXMUthaKwK6cdK6RWa+I7uUXQhXwog3YHHXsaeMeToSclFWMOJcSjitjy5GjmzspG5Gf8ABrPSyEFgGYAHp+td5jCMF21ZJI3z17/hQc7srZ0jT3x2qGWVukc2RuQRJcvysySE+XegJJBzQzO2g/yZGaquLjmbOeh2qBaSXRnCx5JXbr7UijJOxYqT0elnllJhjTwk7MracetSiiESDSMknxOds+1SJijGhDjV271B5QCBGwaX+oeFPMn8aso0d+PGo7ZK8k5Ecrs3ixlV1VVdXzWsMUcahriZNR/pHTOPPNK+L30eDDBJzmLeNwPtGhJGlnBZ+YruwAORhUA/WgVbDJOJSC3hEs5ZyGUY2IzQK8QmeCSLWU1KqZA3YZGw9Nu1TgtI2eRdZ1BMrj97UVHFHFMkLnfmDxEbeu9BsVIre1ntbFkjRszALknfJ6+22asuoUSWXBGmytvCT1D42z5nOKL41NzuMmJCrJbRggb4zjP796TT3U0xmCr/AOM6hz1PY7GkQ77IyBYLgLHpZUjUeeTjeoylEeGJTgrjV3yc5xXFR52kIGgZyxft6UVbJBbQvNJhi42Y9qSTGRd9DggV7i6ZS48Qjz/Fnv8ApSdoZr6cuNsnA27e1Tu7uS4uMM5KrgAe1HWNwY1QA6dP8uOvrTRVK2JJ3pAkvBbiOINu2eox0pawYHSQcjt5Vtk4gOTql8ChCQRuCR1rL37Brtp4Ro1MTgdB7UYybYhZZwGfgzomda3Odj201ymvweonku0Iz9lvnvn8q9WcqYUjTDTpAYtqIxtkV2e3EtvpWVUYD+I9vWpHlz9NWgLglh1NUSEIrHVrXfJ6YqDzScv08m2mQnRLeFpXKklcHSSaXQzIoZpIdS+YG4HnTCASi0QTQ6xPnQhYY0+Z8hUZbNbmMraLqZBpLAkLnvue1Ww51C4zffkaK9gsAhnY6SUUfxN39KKJMo5auF09Mj9+VK5457MtFMArMc5U5z7VWZ5AVJLHbY+VeolzVp/weq0bGw4pNbsiqWI/kB29sVobTiquNLlm9e/+a+e8PlknONSqBuWc4wPP1p9AWwzRT/V4zk9z7UssSZWE5I2dvdRXJPKOVxnNVz30MRdc5dBnSds0m+HhMbqRmMmhR8j71fxItIrMLbo2xNc7glKivN8bLYeLEySGWNQigkDO9JuKcQjubyOXkP4U0kOduuaElOScnBA70O7vJqO+e5671SMVHZzSyt6PSM7nCkjIyctk5oCecpIVXG2x+VMkSNUIU7lc4ToKVyIZJimCAp+/0rhWSM5NIaNN0RjRZF1MFCDBPck1MFRMXkcKQAAGbAwKmY9gNQXBy2RmoxQwxEyuylwNQL9a6OkdcIUUzvcy2Wu2hA1NgmQ4JJ3yB5UM3DlCoJ52ecnDLjwCi7hgLVHlYkHLKBsOwplHar9Kt2ADMRnQdidvxpG6LKNsRiwitecWRYxqXHbByK8EEis7Jy45FGkEYJArWwSW5uHAiSVG8MkjDIJ8h7YpDxy0mjmYgYi0/ZA23zuMmorKnKkXlglFCgNHDBNIxGliAVx137+lBWkz3nGFaZ9SliSSNz5bUWtszyg3DsEBD4J2GBVHDVYXJm1Y1Hqf0qkujnSdoKiYQvcuwDNIpO/UDJwPuApWbpbWGERj6zVr/ICvSTuyTsTqBYgbdMnf5UJLmRyw3J6YpUqDJhJljNuq5+sJLHHQb9/uoW5uyVES9Qdz+VRlfkp4TlsY9qrt4Gk8XQDqT0opLtgbJW0bM4HYdTTYyrGWjRRIQNOT2zQKad0jzjO586IluoIggiVdQySMd/elbsy0emknIEGrfGWPmO350DM+QExsNyRTjg9ut2Zbq5TKDOB2NDzw20aM4iXO5Gd++2aKdAYZ8FnTxGZT4VeEsDnyYfrXa98PaPphYY2h04C+or1K6bGXRp9IMRMTElcbqufv8vn50Ici65bMdxnAHXI8qJiBklwzZK59gO5zXZLECJpIix1DfvnyrinlV7PHlVnIpefdTxSwlAkaxhXHY9/ao3cUUYSESPEsgOjxYVT5Y9a7bGIcthOx5ajXk42rnEpeZDEJjKFzpCxAZbuN8GgoxWSrobguXYkuWlEfIl0eBjknOfLG9QWJ+Zh0ctjOAhJ+6mXEuUGUWatvuxZs4PlR1jxKV4w0ipGSNCyYyBsBv+vrXuYJ0i9CCKXlHvt6VouAzMJ+bJgx6snbPpuKqu7GCNedNKCjrsUGSwx0G3mMdqjwPiR4bNLyoQWbbU2entV3K1pG40zY8CXSZnTVynOcZGM0ymgMqlWIwe4G9ZaPj8kkuI2AQtsMjArRpfKsCySjGrsCDgVzTjJO2VjKLRn+LWBhJKtqK7t2/tSWSQoMI2Qe/wCXvWg43OkrfUyKVK5J8vSs2yRO3hx6nyxUpZLfE55K5VElFcGSFVVWQLsxIwKomnWLAH2ui561C6uI4B43CZ6b5J+VKp7xFuUd45IwDqBffI86WEFj6OrFh4oarrbSiddQ1MRv0/zVkEBknkcwyTMCQsKj5Ak0LZyQzsSZY3ydsDp649OtA8R+IZ8CCFlEC7KuCC3qcH3rSk/B1xiluQ4eHnTsbydA22IIfGyjPTA2Hzop5nIIjQQoy4YknUR5ZxgD2rHt8QXCjSogUeSx7f3qtuP3uraZR/wVKUJy7LwzYY9GzjnkQYTl6R57elEi7JCx3EMUiDOAe3sawB47ettzQo8wgq+3veJ3SuUncLHuxAGN6R4GU/64Pwa2XhVjcRyi1nNvI+31viUZB7ilU3CZuGpJ9IeMfV5jKkNkUmuLjiyf+plI06huOlLzf3rkNz5HA2xq2plCVdkJ5MbekTu8o4TBwAB71WXCqS3WpJPFc6VmcQsAQHKlgTnuc5FdueG3caCUx8yAjPOi8afMjp86p/Tnp9ooijedi7fYXqaMubiMRrBAuEA3NUO4KLHHnA6/1VU38v8AzUexSck2oBUGlcfM1VEvMk09B517HluT0omxi+vKsGyRgKBuTWekbyOUmFtwyKOPGWJBHl60M1uJrYtq05OnJ+/bzNF3EUcUcaStrZd9AOxPqRQUs7PNG+B4QdIAwF9hU0O0MeEW6LdnlO2kRkbjruNz+leqzgokWZ8D6vTsc5ydq9UpXZSPQ5ikiMrJIzhcZIDE5+XTpmgri9M0rxpK0KJHpLKc6j7dB+VLVYsWCHUexxj5VyEsEZGVeaT3bGBRjiSVnlxgkHcOeO0vCZXxE6+NlGT02pl/qluEbTln/hjPV6RB2V/EkQA67k10wSuFeDLeLbT2z2ozwxy9rYZQjJ7DL2NEYPEkscUgJVX2GPb0zTLhl0E4SQmlFT7bfaLnPl2HtSKK2uriMaA+gLq3yds094b8PylY7u6ZY4HiLbtghuy+43r0sUajbMrsAnvrZMlo5ym67Sg6vL0xmu3HGILi1hjSAQiLAVtRPnsdt96F4hcQG4yhj5UexYLsxHcD3oSNTLrMUWvzC7Y/frSvIrKUxtFfWuS0sBeTth8L7486bx8QSaIxLG0WR/DvWWhjGsKuZmH8Ee4Hu3SiTdBU0S3IC7HlQnsfWntTVCfE2Nb2/hhJUlmIOyJuTSq6vLmQu8rLarp1Y25jDyAoGbiLKCloEjGSMgbtnYZNRvuGyxWYuJ7lSwG6HfHpnNTyRjAtigl0ckuoIllNnGZMBRzZD49R9O9B3r3lzLzGzIQg8WnTsB5UHrBBxkV9AkNvHwK3eXkF3t0ZvDgNlc+XnUpPRX8PnvOdH22YbdKstbee4dpI1UhCM57fdmhZJDIxkPVjn76ffCEMVxfTw3K6ojHknXpC489xS9bN+CviVrLbyEuo2IG3TcZFBBWIJBFaL4wSGCaKKCMqGyzeLIONh3oW14eslrFLHC8geMszaujffQUtBcdidGwx8OcqQPQ+da74AcNd3Vu6BsoGDHG37/KsrPC8czYQ6Rjt6frWk+B0zxiTmhgOUd8etGrNHvZoviiXkcJuGCavDpxqBxnvWN4fwO4ubdJEI0N1OqtH8YLEOHusWsv4dIx139PnS/4eu1i4ZypBKWDkdQABUqcI6LcVOSUdme4jw6bh7Is2Mvnoc+VU2t1c2smq1neJif4TgH3HemnxBPHNxJWZZHQRgBWfGN/Sgoja6svFJt/XVI7jslO4yotuLlrjNxKkSPpAIjjCAnzwKoiiaRQqBmdt8AZ2qya7gGhI7VDnrzHZgPkMVKW4mYFEOkE40IAo+4bUehS60s1V9U7gdcIu7foP3savhkX6YUWMRRkbkbsdu5/YqVogjRfAcd/SpPAVzMY2IHbHXypJdBj2D3U+C/LOw2Ga5aKkiKGGl3Yb77DFVXS4coMnzHkaOjj+qh0nTjBPY0vSH7Yz4ZFItwTzFZApAXHTcf5r1ds5cz6WfGlTtj1Fdrnk9l4rQpkfQhJOD2watkkaNF1b7DBxvXoI0eMZYlidlUZNeecQEmUnIGynt611HlkFmeY40AE9dvx3oqFpDgQB+b2AB7dtqGspRJOHZkHiGC+6j3HcVs7Dh0z2cl9PFbxCKIyRtbNqWQjsf7bVbHFeTOIl4aQJbYST/RtHjZS2k5z1GRitNx24jSwMLS5ZlVmcMD0/DesRf8Sn4hcLPdymPoAo3AU9MHO+MdKncJdlyroZiiawWPhHkoA7mrqcZaQFFvyRJhVjy0EhDZWQkhV/WhZruEMFkYyj+RPCgq6Hhl/fRNJcM8KAZwV67e+1A21q3+uW9kr6y8yKSV8zv+FQ1Z0JKK0Tlu7wxD6poosZXSpA6YzR/wAOWq8VvnWVFYLGGIAwBuAOlM/i2EWtvLp2AwvTzqf/APOIAW4hcdgqIP8AqP6U0W6ZmK+KwIvEIY4o1RnmwCF9al8UzSrEY2bKs+Og8h+tF3y8z4r4YnUFzJj/AHd//rQ/xpPzZIk0aSSW659PyovdARk2OI3PfBxX0X4ktuRwnSCoEUSDGegAJNYSzt2lv7aNxs0qA/8AMM1tvi+4kXh8sZdsMGGCf6aVoNryfOFBKjatB8I2zz3d0VTJWA7dO4pFk6go6E1q/gvVHNeOMZ5YXcZ70EFgnHrPHEpBKpGGfGfLUahZ3K2toYkibqx+16Z8qI4xMbjjEkZG4LkYHbUagI7cWzhyNZVidz6VOS9jqvAGd8tjrWg+DlMnEHiUeLScZPqKS6PBsKa/B0wi46wGNSxscH5UY9iya8jT4gtXOlsAqFXofWk9rLNb5jjKrmRc+EHY6sjf5U945cSPKqHGGAHT1pfbLa+IzMucqVDZ8/8ANPJa2BVf1MvxuUyX0cj4LGLfAx0Yil7SEDO3tTT4oES3cPKKleW3TP8AMfOlkVld3ALQQSyKoBJVSQM+tIugu7KYsls53o2yIkcljsNhmiLL4b4tdCNkttEcg1K8jAZHt1p3wb4Yki40sFwYrmKIB5lX7IB6Aknb7u1K5pGUWwKzj8Xiy4HbtV/FI5SsHIk8DKGYDBAPTBI6H0rWpbcO4dHLiOwXG+rmGQqM+WPzHWoX13FZW6JAsKyN9ZGM4Axuc7H9iueWba0Hi0zJQWUslq1wtrOY36OUIDE9ACeu/lXTDJPEhigldgBnA2XHma1cry8TgeLicBtoXPSPL5A33bG3Xpj50FfXvCorRrSykSByRurkAH1NCWW9FVCtie2ae2dZLm0ljTSV1uRgnI6fdXqIkj4jcRLyraWTT9qSWTZj6fjXqXsNgRu7aHVLEZVfABXrnz/Khbx1upFkj1F8Yw+B0oEOzkaiVz5bZq1dRcxg5I2wBk10qFbOBQo6VLSlUAyB16U64ZxUlniubiaLmpoZoTjPuvRumKFXhdy2eUrAtgksdKlemc/OvXtjJw6BJGeJwx/gGw9QT1qytbGeyi8ljkaODnZijYkNowRmi1kVIsoMFRnOevakhwzE5I37Vr+FfDL8R4RbXJuuWJASFKk5GT3+VTao3FtDvhsefhaKeTGuYZ+Wo4/AVnvh9Rc/GscYxpR2c4HXAx+YrbxRW0XD4rNwOXboiY38sA122seHWMkk1rZwwyg6XkSMajn161VUilGO+OJNSmMDJebAHsD+lNvgm2+ifD13KUKmRidxjPhrSMsSu+IxqTckINx+zVgcaolw+mUZHp7iteg0Y6zspn+LYp5baTlRRHDspC5IPf51X8QfD3EOIXcbWtlhFH2i4A7+vrW7dSIx3K77nrQxdvowlEBzkAoQSdjWtm0YbhXwhxa34ta3kjWyRwvrbEuWPXoMU4+I7S44ha3FvEyJ4SDzD0BPua0chkURGOINrA1ADdfOlc8c0gaRCfE++dxpz5UmSVDQSPnY+DuKc4APakjfHMI28+lan4X4RdcMiuTcxx4cKVKYfIGc1LM5uJGeRsmQjKacYB6b/lVjCYW2DJKWzkIHAz38v3ip/KPwMxePFd8XE8CAIIiCdGnfV39a7ccOU2rSiUglT/AT12pi1rbRXEwMreE5UCQb5zvuK9BYWl3sFkLyR40mYjI8/T3o/LFG4Ni+04cZbRbiWXRGWKZC56b+dNeBcNt+HcVe9+lxTtyioVegJwc9c/hXJY7fh8cbnSkecCM7aQDgkk7k0dHcQXTQ3GsQrK/0aMGLd39hvjfHkMGpOcvAyjFdlPHJZJlXFsuoHBljJKrv61RZ2BumCQ2k0smAWYsEjjHv3NM791s3C3F0CsUQYxqNILb429d/u7UBH8VmPFqlk0YxnMYLkb+Vb5JezcY0XXfw3GTBPy7GNYyzPz8yagTtnt+NXXbraWjRz8US1jR1fUiadYG5UYO+3b1FLeJX5l4bJLJcMsbbIj+MscEnPQD8qBle/wCM20K2kKP9YWkMmNG3n6DbYUjbfbCkkNLi4+n2azxMwjeI6ea2GO3TrtvjvQV1YwlVR4VK6Q4SKUDHq2+cYz2oW8tLpkaO9hljtYCE1pjxDA6U8/1GyFqHgKI7quw2IGBsfl5+VI9dDPa2KJGaWPTb3Ea6OvNbSpHyUknbv5UxsYLeyjzeRW9zcSZZZCgOnb2pcwhnuJbiRUPMy+y7gdRg/hTx+C2/0FZDDJPIQXGqQjbqNhj7hQsCSFNxf3EiCQOVTWuUJ8Q6H2FWRQluIzcQvuHho4V+oRV3GPIeZ3qdzBwmG1ke5jbxrqRgGf5dxkZ6GiPp1ysYkFnIZJhnlO6qR8s5/Cg7j0NVumLLriy3LMkMsr5bU0fJJaPbABHau1OSe44Zag8TjWMSyMyMrH7jXqa78C8aEC/RVR8IQwzp1HIPl7Uw4YnAoY1a8uJ+cHBJRjjT3H78qrX4Z4kRkoi++amvwxd/xyKnsDXcqWzk4jqDj3CluXdroaVGmAOjMFGBjI6dRSji19a8REtwRGZyMAEt2PYdjXP+zEo+1MR/w1VJwJ4EMjTHSP8A481pvl5BwBeFcOF7dcvxEaSRj3wPbrX0Xh//AHTh1tZoysYIkQt5kDc/fWU4WFsYGZmIJ6AbEnsPTvTWC9eGLnSMC2M+HOw7gDviubJOV6OuEFx2P0v0gX69Ixq6ZbqBUTx+MIW5C6PM5A/t1rLHispEsqqgMe+WJyOwAHnVM99PMRzX1YA7nFHlNLsDjE1x+IkEYdoVTIyM53Hn7VU3xM5YcmCJsjvnY1mUc8zQGXTgOX1nGT2wB1q515Y50Dr9Z4WlMjEkkdAMbVlN+zcUPh8S3JG0Nttnqrfr51UnxDxQ5DJYK2R/C3Tv/FSbDyam1xsFIHNaRsZ9NulEbbxtLFrQhEGrIz3zjH7zRc2jcExivHuMz/7KlpIwbS2mJtv+qh/9U4i45Lm31HZlCEHOfeqLa5s0eSJOcFiJ0BGIU7b4x2qoCNWYGCBY95HbmHIPtj1656Z2pXNvs3BLo9GJ0Ku+iVw+sldvuGM+WSTVl1xEWdugm5EaDOnWCWceg980jvOKTtcm14dAELPpDltWTgfLt5dqLt+GW8TC54jO11ckZ5ZGrHof0pJOuwpXpFTX11fXCNZ2/LXRy1mbGsj07D8ferrfgkMYklmvLh7pwAG05C9fXOKYI+seBigGNlG+P3irQgPU+ozsPupHkZZY4i2McPgIH+mXV2Quj6wFmdtugOB0GdsUZcXVtE0LsEtdOGjFwjJy23BPXHpVSIIrkqU8BfVpIOCT1xtvnz/vXb2NryCS30EQBfFhcH8f0rOYrxoXcRS04lxZbm3vZJU0Hn6JC24xpA/faqzHcugseHwqDLgYByzHzJ7Yo3gvBGLGC1ZFQbnmvgZPljrWv4Xw+HhVsVzrmO7S6dz6Yp1K3oSqVCGz+EWlVW4xceEIMxo2o52/iPtUeKQ2/B7B34MSZIVBMbHUHBPf8elaW8cC3dyQAOpY4xWG4vdqwaO1mblsFPXqM+3f5dKaQqOxfEVpxJBCUuYJnGFXTqBPv5VS/AeISqCrqzNnUDnLdf1obgkrO8+Imm5TjS6jJX+kVquD8Us7m2EWqVHJOI5iA2R5VKVp1EdU1syMvBOKwMRqRSRyzkHCjHpW34eVltLcSxsJIgPFqyrbYzUeLRxGyluCzfUpq0A4AIHfHvXzuC9vrKUzQO8iFyzRPko/y/SmX3VAbUTecaiS1gE7SKqp3fAwc5Has9DPxLjXFEubdI7WKM6CzZbR7jbqKJ4fND8QcRWS8s+XNGmySHUN+4Bo21+FeF6plnQTNnOkttGP5R6b0n1jd9jbfQZc2vDDhOI3VtPIvRZnUBfYV6o/9meEE6Y+GQbdSdVeqP19s1+yN5xieG9aOPlhI206XB38znfvUD8QTB1+rtVU7YMh3PkDin+hSu6g/L0pfx2OM2oyi7MMbdK9JHMLRx27zL4YACPDl+ntt/fFRh45cIvLlSGVxuJCxwQSdunpWgiRBCuFUfL0roVdLDSMZ8vWtoIFYmLiMHOlto0ZWIBUdfY4zVV7wguUa0maFlwMHJUADoB2ppEfsjtirG2K4/mxSNDJsystrxBJ2VoUfQu7BC2vbA3x7fdQjTSIxEtqgYd2T9a2Umy7bVS6K6gOoYHzGfOpzQ6kZBbjmOxdQ2T5bYqZnhD55QEfvsD+zRnEookdtEaLseigUsuduGREf+84/GkiN4sOt7mGQuRCuVGcOOoFTukYOIkt0RnAKgFdwe/XpjNBWQHIQ43KVbekho2BIYQsQe4OsD+21N+AOtbiMPPIwKxfzSDJI7ADJo+1hueIeCCFVRdiQcAbeZ3NW8Jghm4zIk0SSKkCMqsoIBPUj1rTkBeUqjA8hSyegoyV/wALThVqvIgaW5m/iRSQKXScFvuH2purx1+tbxIjE4JG5Oe9bqUBriEMMjGd/PalnxN/5ZKe4b8qXkaraMtAX5xLltOxAA3x338/80U0+QBG2ZD3LfZ98VVdKBb2+ABqxqx361QQFtGKjByBt7is0V8h8bCORWkYH5atqHMurSmzBTpyo6E+fc1BFXWpwMnPb+g1pfheKI8JMhjTWZXy2kZPiPegZ6BuCcNuZLs31zoWBBmNW31eu/QevWnlxcrpZuYQM7t5GrbneSNT9kvuOxpZxcnkRj1/KqxVIjZmfiHjT3UXLi0hEzqV+5HT9fnWTuZBLKNd1qBcAknYDuf3ijrzpKPIflSuXbVjbaqwEkEW2iKYTQXiYGDpJYgnvTBrzmpiedJUk3dlXdPUeW+KzsZKykKSBg9K0/BQGdUYZU5BU9DQy0t0bHfRU3E7kWL2n+oxNEegkBLYz0Ld6HtrlhOypdQSI6nVjIxj3z1oG+2kkxtvQepo5oyjFTkbg4poxTV0K5M0nCXuOFyfSI7m3cDbLoxP+O1Mm4rcPrRbqOElteUUgt5HP5VVwjxcI1NuWZiSe9E2QAhOAB4+1Rk1fRWMbHPDpebapNchlkYDORvXqLP+zoe56nzr1ebOX2ZY/9k=</t>
  </si>
  <si>
    <t>Independence Memorial Hall</t>
  </si>
  <si>
    <t>Memorial Visit: Walk around the hall built to celebrate Sri Lanka's independence in 1948. | Independence Museum: Visit the museum below the hall to see statues of national leaders. | Evening Stroll: Walk the surrounding Independence Square grounds with locals and joggers.</t>
  </si>
  <si>
    <t>Independence Memorial Hall in Colombo commemorates Sri Lanka's independence from British rule in 1948 and was built in the style of the royal audience hall at Kandy's Temple of the Tooth. Surrounded by landscaped gardens, it features a large statue of the country's first Prime Minister, D.S. Senanayake, and hosts the annual Independence Day ceremonies. It stands as one of Colombo's principal national monuments.</t>
  </si>
  <si>
    <t>Jaffna Fort</t>
  </si>
  <si>
    <t>Rampart Walk: Walk the star-shaped Dutch fort walls and moat. | Lagoon Views: Enjoy views across the Jaffna lagoon, especially at sunset. | History Learning: Learn about the Portuguese, Dutch and British eras and the fort's recent restoration.</t>
  </si>
  <si>
    <t>A magnificent star-shaped fort originally built by the Portuguese in 1618 and later expanded heavily by the Dutch.</t>
  </si>
  <si>
    <t>Japanese Peace Pagoda - Rumassala</t>
  </si>
  <si>
    <t>Pagoda Visit: Walk around the white stupa. | Sunset Views: Watch the sunset over Galle. | Jungle Beach Hike: Walk to Jungle Beach.</t>
  </si>
  <si>
    <t>Situated a little walk off the Rumassala Forest, this Peace Pagoda truly is a peaceful place to meditate and relax your mind. Although it is with the Japanese touches,the architecture reminds of the Shanchi Stupa built by Asoka the Great in Bhopal, India. Why? It draws a steady stream of local visitors, especially on weekends.</t>
  </si>
  <si>
    <t>https://encrypted-tbn0.gstatic.com/images?q=tbn:ANd9GcTVY_koXYbloOaniwqY-AGcVyeN3QjySiqwwaOg5UFTjw&amp;s=10</t>
  </si>
  <si>
    <t>Jodu ella water falls</t>
  </si>
  <si>
    <t>As the name suggests, a couple of small streams flows down the rock bed to create 'Jodu Ella'. IT is more prominent during the rainy season, whereas only a tiny stream of water is visible during dry season. There is a separate road to reach the waterfall from Bambarella, where the last few meters has a small hike attached to it. Visitors are advised to take care underfoot, as conditions can be slippery.</t>
  </si>
  <si>
    <t>https://tse2.mm.bing.net/th/id/OIP.VNg_50PFfG_SuaVhqkZrKgHaE7?r=0&amp;pid=Api&amp;h=220&amp;P=0</t>
  </si>
  <si>
    <t>Jungle Beach</t>
  </si>
  <si>
    <t>Snorkeling: Explore coral and fish in the calm, clear water. | Swimming: Swim in the sheltered cove. | Jungle Hike: Walk through the Rumassala forest trail to reach the beach.</t>
  </si>
  <si>
    <t>Jungle Beach, near Unawatuna, is a small, secluded cove reached by a short walk or boat ride through coastal forest, offering a quieter alternative to Unawatuna's busier main beach. Its calm, clear waters and relative seclusion make it popular for snorkeling and relaxed swimming. It has become a favoured spot for travelers seeking a less crowded beach experience near Galle.</t>
  </si>
  <si>
    <t>Jungle Beach, Unawatuna</t>
  </si>
  <si>
    <t>Snorkeling: Explore coral. | Swimming: Swim in the calm cove. | Jungle Hike: Walk the forest trail.</t>
  </si>
  <si>
    <t>Good place to enjoy. U have to walk some distance to reach there by parking vehicles. Very crowded place in long weekends. It's a popular local spot for a refreshing bath or swim.</t>
  </si>
  <si>
    <t>K &amp; R Tours Hambantota</t>
  </si>
  <si>
    <t>Guided Tours: Book day tours around Hambantota. | Safari Booking: Book jeep safaris to nearby parks. | Sightseeing: Explore the southern region with a local guide.</t>
  </si>
  <si>
    <t>I contacted K&amp;R through their website for a day trip for Hambantota. We came through Cordelia cruise and as we reached their vehicle was ready in port. Attitude, vehicle and tour was quite ok.</t>
  </si>
  <si>
    <t>https://encrypted-tbn0.gstatic.com/images?q=tbn:ANd9GcSiMDyO71nfQJmWlxNLz0R4S-osI-CJWHJ6RlsNiQgq1w&amp;s=10</t>
  </si>
  <si>
    <t>Kabbadda Cave</t>
  </si>
  <si>
    <t>Kurunegala</t>
  </si>
  <si>
    <t>Cave Exploration: Explore the cave with a local guide and a torch. | Nature Walk: Walk the forest trails around the cave. | Photography: Capture the rock formations and surroundings.</t>
  </si>
  <si>
    <t>An ancient natural cave formation used historically by meditating forest monks, located in a scenic hill setting.</t>
  </si>
  <si>
    <t>Kabiragala</t>
  </si>
  <si>
    <t>Kegalle</t>
  </si>
  <si>
    <t>Rock Climb: Climb the rock for views over the countryside. | Ruins Exploration: Look for ancient cave shelters and stonework. | Nature Walk: Enjoy the quiet forest at the base.</t>
  </si>
  <si>
    <t>A lesser-known mountainous rock outcrop offering panoramic trekking trails and sweeping views of the Sabaragamuwa hills.</t>
  </si>
  <si>
    <t>Kadeiduwana</t>
  </si>
  <si>
    <t>Local Exploring: Explore the site and its natural surroundings. | Nature Walk: Take a peaceful walk through the area. | Photography: Capture the landscape.</t>
  </si>
  <si>
    <t>A peaceful, rustic coastal village and inlet area known for its tranquil environment and regional heritage.</t>
  </si>
  <si>
    <t>Kadiyanlena eco resort</t>
  </si>
  <si>
    <t>Waterfall Visit: See Kadiyanlena falls nearby. | Nature Walk: Walk the trails. | Relaxing Stay: Relax at the resort.</t>
  </si>
  <si>
    <t>About 10km in on Nawalapitiya-Thalawakele road. Can take a bus to thalawakele (751) from nawalapitiya and it will go by the waterfall. Beautiful and majestic specially on the rainy season. Visitors are advised to take care underfoot, as conditions can be slippery.</t>
  </si>
  <si>
    <t>https://encrypted-tbn0.gstatic.com/images?q=tbn:ANd9GcQ9XB1P89qVdOe4-Yi52YUyUHlogcLQob91bV9KowMZ2w&amp;s</t>
  </si>
  <si>
    <t>Kalpitiya Beach</t>
  </si>
  <si>
    <t>Kalpitiya</t>
  </si>
  <si>
    <t>5 h</t>
  </si>
  <si>
    <t>Dolphin Watching: Take an early boat ride to see large pods of spinner dolphins (Nov–Apr). | Kitesurfing: Learn or ride the strong, steady winds on the lagoon, one of Asia's top kite spots. | Bar Reef Snorkeling: Visit the offshore reef for coral and tropical fish. | Dutch Fort Visit: Explore the old Dutch fort and church in Kalpitiya town.</t>
  </si>
  <si>
    <t>Kalpitiya is a narrow peninsula on Sri Lanka's northwest coast bordering the Puttalam Lagoon, best known today as the country's top destination for kitesurfing thanks to strong, steady winds especially from May to October. The area also offers dolphin- and whale-watching trips, quiet, undeveloped beaches, and access to nearby coral reefs and the Bar Reef Marine Sanctuary. Its laid-back fishing-village character sets it apart from Sri Lanka's more built-up beach resorts.</t>
  </si>
  <si>
    <t>Kaluganga Maha Viharaya</t>
  </si>
  <si>
    <t>Temple Worship: Offer flowers at the temple and its Bo tree. | River Views: Enjoy the peaceful riverside setting. | Heritage Viewing: Admire the shrines and Buddha statues.</t>
  </si>
  <si>
    <t>A prominent Buddhist temple situated alongside the scenic Kalu Ganga river, serving as a vital regional spiritual hub.</t>
  </si>
  <si>
    <t>Kalutara Bodhiya</t>
  </si>
  <si>
    <t>Hollow Stupa Visit: Walk inside to see its murals. | Bo Tree Worship: Offer flowers. | Roadside Offering: Make an offering for a safe journey.</t>
  </si>
  <si>
    <t>A peaceful and well-maintained Buddhist temple located in Kalutara near the Colombo-Galle road. Beautiful environment with a view of the Kalu River and sea. Washrooms were in good condition and this place usually busy in the mornings. It draws a steady stream of local visitors, especially on weekends.</t>
  </si>
  <si>
    <t>https://encrypted-tbn0.gstatic.com/images?q=tbn:ANd9GcQcoCmn63oJfT8IJVMz3OlunYkeAc_0l66PHZGJcivtTw&amp;s=10</t>
  </si>
  <si>
    <t>Kaluthara Bodhiya</t>
  </si>
  <si>
    <t>Hollow Stupa Visit: Walk inside the unique hollow stupa to see its painted walls and small stupas within. | Bo Tree Worship: Offer flowers and light lamps at the sacred Bo tree. | Roadside Offering: Stop like locals do to drop a coin in the till for a safe journey.</t>
  </si>
  <si>
    <t>Kaluthara Bodhiya is a sacred Bo tree shrine on the banks of the Kalu Ganga in Kalutara, notable for its unique circular, stupa-like Buddhist shrine (Bodhighara) built around the tree rather than a traditional dagoba. The shrine sits beside the main Colombo-Galle highway and is a customary stop for travelers, who often make small donations for a safe journey. It has become one of Kalutara's most recognizable landmarks.</t>
  </si>
  <si>
    <t>Kande sudu ella water falls</t>
  </si>
  <si>
    <t>It's on your way to Riverston, so you won't miss. The same time you might not recognize it as a waterfall. So look closely. It remains a relatively quiet, less-touristy spot.</t>
  </si>
  <si>
    <t>https://encrypted-tbn0.gstatic.com/images?q=tbn:ANd9GcTC2OUJYDboA3l2QR1OqwrheJ7f2MdYlSdLihd9DqGHFA&amp;s=10</t>
  </si>
  <si>
    <t>Kataragama</t>
  </si>
  <si>
    <t>Evening Puja: Join the lively evening ceremony at the Maha Devale with drums, fire offerings and pilgrims. | Kiri Vehera Visit: Walk the sacred path to the gleaming white stupa and offer flowers. | Menik Ganga Ritual Bath: Take a cleansing dip in the holy river as pilgrims do before worship. | Esala Festival: Visit in July/August to watch fire-walking and colourful processions.</t>
  </si>
  <si>
    <t>Kataragama is one of Sri Lanka's most important multi-religious pilgrimage towns, sacred to Buddhists, Hindus, Muslims, and the indigenous Vedda people alike. Its central shrine, the Kataragama Devalaya, is dedicated to the god Kataragama (identified with the Hindu deity Murugan/Skanda), and the town also holds the Kiri Vehera stupa and the Uddakandara Kovil. The annual Kataragama Festival (Esala) draws huge crowds and features dramatic rituals including fire-walking and ritual piercing as acts of devotion.</t>
  </si>
  <si>
    <t>Kathiresan Pillayar kovil</t>
  </si>
  <si>
    <t>Temple Puja: Join the puja. | Gopuram Viewing: Admire the colourful gopuram. | Festival Visit: Visit during festivals.</t>
  </si>
  <si>
    <t>Calm environment to sit and pray. Its open from 6 to 8.30 in normal days. Special poojas happen for special occasions. It remains a relatively quiet, less-touristy spot.</t>
  </si>
  <si>
    <t>data:image/jpeg;base64,/9j/4AAQSkZJRgABAQAAAQABAAD/2wCEAA0JCgsKCA0LCgsODg0PEyAVExISEyccHhcgLikxMC4pLSwzOko+MzZGNywtQFdBRkxOUlNSMj5aYVpQYEpRUk8BDg4OExETJhUVJk81LTVPT09PT09PT09PT09PT09PT09PT09PT09PT09PT09PT09PT09PT09PT09PT09PT09PT//AABEIALkA9gMBIgACEQEDEQH/xAAbAAABBQEBAAAAAAAAAAAAAAAEAAECAwUGB//EAEYQAAIBAwIEAwUFBAYJBAMAAAECAwAEERIhBRMxQSJRYTJxgZGhFCOxwfAGM3LRFUJSkuHxJDQ1Q1Nic4KyRKLC0hYlNv/EABkBAAMBAQEAAAAAAAAAAAAAAAABAwIEBf/EACYRAAICAgIBBAIDAQAAAAAAAAABAhEDIRIxQQQTIlEyYRRDUkL/2gAMAwEAAhEDEQA/AMd5JjeSYR9YbK5G4A7D9fOr/syCB7gcwlTuDt177Yqu5uzHyiPHhQZD00sfLyq+2eRTq9gPsUJyH91S1Y3fRu2YlEEcc8QaQ7EHcZxnBPUjBznzpprwWT8pIwqBR3yAuOvn86BteKNaKY5FOuIYII7Hbf1GMfGqrZzc3j3EsiIrfvA5HiAx0Hlt0rqWbVLsg4O9nR6Ee3URvoBI6EjP69aqlgWVUUHWGbSX6kY7+hrHbj6yxSFMKFZRFgdskE/IfWtCy4nEMx5CoMEMR12HX1q/uw6snxkVXFtcW87SWrNryAXUe338Q6H37GhJb64eSSS5McLKdKgMSp9c710U8+iMPga2GyE+vXHlXH8SlReIzRtrTS2GTB679B5VD1CqOimN32J5JIzI2sAld3zk58/OqVuZFVtasBINLOSOhHh6D9ZFQumigQskRkjZRqMhxgnyIoWCRGlDAgZ30g4OB+NcmypqovNkiaR2JzlC++TjpWtw66+z2/KYkdlBGNOf186zbbnSlQRqC40qvUL8KndloY+oEhJzq2wBv9BWIzcZWwDXnig5rwsNZADk9z76JhkR0SO5zNzB57ZrLh0PblHbBXyHf+VWWsEVoEMmoTZJIJxt6VbFlk1YnFM1Y7WKCfUkYCkbKv57daI1L1Ow6ZoWG4JRGKsCRqxQ0+maVAkpOW1Lo22B3HrXVHJ8biiTi29mpTVGHPIXUMN3FSrpTskKlSp6BCp801PigYqekKkBSAapCmxUsUANUqQFPigBqenxSxQAqVPilQBwUtiX0xLLqkYk6ioGTjfc9N8499CRyKWeSRy7ICNGrVsPM9t/jWldW8k/CWkgnjlBPLZAukjSSAV+lYwt5hKLZ4QHYZBPUeufnXnyjXR1J2Ta9EzKjA6VyMsxyvTp08qqa4ZUAGGHfzB9KrjWJZMPgjOAqHGasYKlu2BkFtiwrBrslz21iNF1YO3jB1HtgdvX31q2CrccsScyBNe4yDuOvhztj1NYcXt6QCSdhvR8BEMii6iAOnLAtg+lEv0FG1xO7EcyQy3IKxrnTGCSrdVyc1jM0lyn26aQJpxFhlzq3znA3GxJyaLisrK8jaeVNCDYBG3GNz19xqow28zHkxN4RuvZtvOh5eS2JJAvOb7JpR12BTSWxgedNFGrFAqaQwXJI+ffHlUktvvfvCCiqzYBHShQ2oqjFxhfqR+FKhmzBdx20nMhWSWVRjKkBR5H9bVoW0V3c45mSWUsQTsuc+nUkDpvtWNwyEOUlk1EKRv2ON8H5V0MN4cLbxxKBpPiI6k9/QYzUJVHvoVFWho4PFHpK/dgqmRkevvyag9xupuFUbjYA7kd80XJayILi6LHllQNLk5BHn9aCv5Y0sooo42Ck7Z3GfPzqsE5Rt6QJ0Hw3kESYeUfd4G4wO3TPlnHUU8SwxzqyMNTElQvQg1hwXGIQ7oGjcAhB1ABxnf3e/eugsEW6AnMTxKvRc7E+fnXRhtrizE9bD8ZpsVM1Gu85hsU4FKnzQMfFIClmkDSAfFPTZp6AHpU1PQA9PTU9Ax6cCmp80APSps0qQHnsXHmg4clnDChdSSZWGSf5VkNNM87OxJYkscnr51bHZSS2/OVgEJ8KDq3w8qk7mBZbd2Q5GCUAOD5Z9fyrz70dXQre357812Co+SSpGrb07UnjUSrAisdZyHYjGPMVOCF3lZEUxqQSMkjTjPU/A/KmecKVjkjP3T5I6avfSCyTRCCNZccwMu2Og6ZJI99RiEL3IIdl6liAWAI/GjILaaS3aQRxkkkGEDBB6glfI/lRXCzHa3g5zwiBXyzOgJyOnbYUopOVMGx+dJboY3tnMbqVm07qc4JI+HahhK9q3O0nXKuYwTp2zjB8q37i9/pGJbW1knQmTSrCLqD3zthcHfvXKTZjMhkkWTQQo1b6h5+6t5MSXXQouwq5TSqI4TU3Vwdtz3yKH0JoAdyJiwCd1ZACMg+/AqmNOkmANzhSdqJczEySGQIpXUNDbbnovl0qUlb0aGR3ZxoZshg2lRscdDW/a3AmRbqYMEAWN2A2B749T+dY8HEXcpEyaZSNJK4ww9c9/dvV0DoVSMGRGkfGpR4VA6d9++c5+pqMoOStgdHLehJiFABVckA+HHv70JNLFP4gQoVdYBwepBGPTrSa0gntYzLpZFcksEzkeWrrgn8Km9oFbPM5iMMRppCqu3f/OrYU2rbMv6MqGGKOd+bpLybqvQb7fl9K2rC6gkcOdYdF9nOB8qzeIRzRwjmgCJjpCnOpF8u2On6xWlwm3WRRPKqZzhQGLD371SClGaoUmqNXrvTGnO1NXp78nKKlSpUAhVIVEU9IB6emp6AHp6anoGPSpU9ACqVRp80gHpUs0qAONa3s7diksaGJVJzzCfCOnx6H0rBuXd30R+BcnQoT2lJ2omaaM3GGjkJQkHW24O/cHcd6slt3ZzczRBi41LpO3x/yFedOa6OtRZWup7Iljrhbrp8WDsflqH1oGZ452DnEQOARjOK2xZtxCeaa30JLzcaASdKYySSMZIO469CKFa0Vp2lghimQNklt8Z3xil4sSB7XXLIjIzDSBhu5cbD64rp7e2VYgsekI2GIlBJzg9BWRZ2fJtjNFMEZzqji6Mx2+niHf1rXtUuorghpI3jKgAPuTjqxxWoRj20ZmzYtoZTzDKw0SDSAnfbGfSuZ47waCB2maeRi+yFsAKdgM+eQK3LjiULt9igcpOy+FwCYx/3DsaptYJL5o7m5lEsEsYyoGFYgkhgPpXTGEGqRK5LbOQgtbmd9OlgI8FkK+Lfpgd96IayZ7JnjhcsSEUdzrBxjzGVx6Vt28cj/tdNOPEo8OMEeHA8WenUYwate1nt+INBEwaN2V41wCVGrf3dcZ91c88TW0VU9nF6wkksUkJ5mcEA+zjtjtRfCpG5uhgmqVcoCMjYn9fGr+K2t00kt1OAcOVw3qe3pv8ACj+FzQrbNDKyhSGEZLnxjSBjPXt/7vSpyXhmrLbbiMuI4MvrRdMaHrnrv7thWpfRyS2wwqtGqk6B0JHQfjQt25Xl62j5iHDcvKjIHQbUS7vNYqwBK48e+PD59uhxv6CnjxpLfYmyv7KZTDIJsLjV96clf5561qWdqLSHl8wNgD3/AOVY0M0h1NyyspXq7bDpnp6U5nJXfWPGhzqG+KpjyR5dClB0bzEYO42z9OtIbjIII6ZFc59tMEismWMTzPhjkHWc77dqN/Z5udFJK7MZGJzvsPhXYsib0ReOka2KVPSrZgVKlSpgKpVGpUgHFPTCnxQA4p6anoGKlT0sUAKlTilQB5kohg+zSIzYYtkOM5IO2RTXl3ctdSYKAO/RD4RnsM1XPMrrh43eRcgFe/qw/GqHI7nGlcgjbBrykvs9Gzag4jJZREoAkgw2c5HcfDqaKtWee1+15Bd5CZHx67etYsErSjWzKzOukAjOd+/yrS4TccpDb75VsnPpuAKX6CS1aNdLckAySMXOzA9OmPhnIzR/3ZTlHbqNWNKp5ChoWjkgif2ol3LKQNyehz5DNXG2j1qY4ndpMyZYk4J7eldeGNR0cUpeTIgsUtHFxMrO6SYJzscZPTuN63rKTXaIFTTqHsnbC/ois+8t7mGIRx4UKQQ53O2537f4VbbGeyTMpLx9A43wMnasKLx5LXQ75RNOGGKAkwxquw6d8dKGvIf3mZCdSgKD2OSf5belX20/PjLas74zjFZ99DdSThI4XZTkcwsML3/ECu2VVoku9lEhOHt5Fkd23/7c9809tBZkowjDaSGwBkAjP6+NVzNJa3I1sQQBk4yep+GMVZBC1z90GKogJIVfbBBxv51ClZQE4lcRZkRX1B5AxGvIGABsaMikjTkliW0k4AOTv1P0rIIEPFm5kaaWbACRnYEeRrQRoYradoonM+6s2O3TH1rnc050yla0D8wJzVZWMzZJVWwPPb4UJMYo4VkBlCM2AFyxFSSaErqOsljsB59O9XoNAZo0lQkaRpbGBTjCK6ZrYC8OieRC7nMZYnV6Vsfs20yHQuHjbqx6g1mSLHG+JA6g4GoEHr2omwuOVdDlKTp6gGqJpNCabR1dKkviQN5jNPXZ3s5BqVPilQAqcUqcCgYhUqVPSAanAp6egZn8cmMPDJND6ZGZQuPeCfpRlvOlxGro4bbfB6Guf4ndrc3DBT4Y8he49aH4fcvbXCyiRtP9dBjxCuGXqVHJ+jqWBuH7OtpVGCVJoVliOUYZGaVdq2rRzNHlUUSSM+ULMFJU9N+1Rls5kuoo3GRIoYHqCPI1pQnn5+6Bg1EltgV+X41RZ3NvGJtKMyBiqpnLAV5XJnaWLHBFOYcjQG6D+odR6H41KwZll5RDPhgzAfPt3+NBwB8rMCVUtkEjf3/jW5biOO4SYyhftDeEA+Q/wrLdFUtHQWFurarh3Z5CcZby6g46d6NNU2V1DPD92Am+Aud8b4/AmiK9bEkoqjzJ3ydkTuMY28qFvbP7VCkKtojB8QAHT0+lF0iM1tq0YTaBrSzW0ZuVLIY/6qOchaKGB1pu9SzihKh9nMftQmieJzDJKnUgMQoI6bZ3qX7NzrO5LysJMamwcKrdAMee46be+reMSKge3kK5uMg4OrHltTfs9DHbrqlQ62AAY99/Kof2WVX4gyWrNxBnkjYJ7OpiTzN+vQb71o32G5CIzqqLqIBBJI7E1qz2omQRA6Yu46aceVc/xJxHLyDuqrpVhvqNRyYqdm4Sszcxy28BEBVnlOzgtg5/w61K7ne0RZNHMVyFAyfL3U2qOS3WWKMMA5GknYYPn+ulXcqWXJRQP4W6VmlRW2V3geODoC4JODnoGGP51dCQOJSlFLaUAzn6b1RcZ5QLxLqGSTqyRUreeFpZWiQao9j5naiVeAV+TrrYOIV5r6j22xgeR86toXh0jy2oLgZHrk0Xiu2D+KOSaqRGnp8VICtGSOKcVNVyTVywqR7W/lilY0genFXGLFRKEUWMgBULkqlrKXcIug5Y9qvAqm/5K2MxuM8sL4sDJHlWZdMcezjdIK8xXGPKknL1hWfYnoPKhWuWQP8A6OQh3DOB1q9JHJQZU6RjcjBrxXjlZ7KO1sWWWzieNCiYwoOOnwpVl2HHoltESWMAp4RpPlSr1IZYqKR5ssGTk9HKWEaXLtzpEiA1Al8KjY3IP1oK8knnuvtUca4VVGFYZwK0ZLe05BAnXWI9TxynS2V2OOuc4Jx65oO3UW5i5WmbUcKRvXnp1tFUDRrcSBlSGRw3ssB0HX/GteIBuHxrKw8JGjDjwnP51VdNJZSSWujDqRIJFONS42wPjVtnKDGxkOtWOtg/XArLk2WimaHAIubdRSSM4aJW0rnIJ6HPlsfrXSkVx/DbkxXE8lswXOW8srnOAfh09aK//I7i2mK3EUcijy8JFej6OXKLj5Ryeqg0+R0uKagrLjFnesqIzLI39RhWhiuvzRy0RpxT4pwKBAM3DYpJhMmEkzktpzmnSKRbzDxRnCgiXTscDGPTejhUlGBWWkaspnlaG1eV8BlXPpmuM4hdpFJHcyYzI+NmOM5/yrrOLzxxWbqzaWfptXNXYhlYQzFS2oEKV3PlUM0t0XxLQExWK4+yxRsYjpYeIjH6xUr65tLKXQkWoNLpwrEEH1AOKudYlmOpvvWYovg6ef1NGNY2d3G8s8YmVfGupmHbeo6KGdechbZHVGeUu+SHxgg+/PbvT/aEgW2cpp5wKEFuufUb1K5e3+zo+Wwc5ABOM708ogK22WJRW8IZNhim9AjoODmbOjwrHkHbc/H5VsYrE4fcQxXKDmHMgHhx23rexVfTybjsjmW7I4pwKfHpUZZUhAMjY3xVyQPJxG3gmdG1kjqVXIp14xanoJv7lZ9xFb84tDl9W5J7GoCNeygfCouTKqKNX+lbY9Ob/douFxMglTOk9M1ipGpdQVyCR2rdRVTCKMDsKcZN9ikkujM4rfPYTW5GSrA5GM5rM/aC+F1w+ARArG8hyCepB6Vf+1KMZbVjp5YB796yZ53Nmlt4dKuWGB0NceXI1JqztwYlJJ0ZzmQgggkHpnHSm5kmNs/MVpWsSiQKVBGk9ffUXiUXJGlcZ8q4vdd0ei6+gFGl0jr9KetG8jVdBVF326UqFktWGjDsbCO7eGWWaRteSyld2UbbH4YrTi4XF9uR7RViRPC2rLY79aAsZ5Y78QsyvHCxRnUbNqAwf5VrRRql6ksrNymGVAcYY5wPjmtZJNHBiSZVxfhRQy3zTlyi45ZXSV04Xv6DOKDdEnsleMjCqFBHbet3i0tv/Qk7WP3r6PvM9cZOW6+Raubh4jaxxxwN4bg+zLGcgf8AKR/KswuSKyaiMIyk0cEjlNixbtnoB+dFusfND6dMoXqNw3rQ91NNd8uNZ1PLGzeE6m88YB+fTf30RfkQHk8wyyoQNZ2OkjO/Tzq2Ocod9mGue2ivh0SvdtLJJoBBC7gYzsTnyAzWg3ELrhlyIomzGBvE5LY3PQ0LaxCaJRyVR1UeIzFuY2cjYdPmKH4kJft8iyFsJhRqO4HnXX6OTlmdvRD1EUsS0dhw3ilvxBfuzpkHWNuvw86Oyozk9OvurgYn5ZRkYg52ZTgitVuLTzoolkxpXDFR7fvrvmq6OFI6jUn9sVMOmfaGBj67fjXJfajjLSv18zUGvCAcs4I6nftv51D3Sntmrxi7Z3kgEQKx7HO+rpWEVSZS6BmjwqsTkkEN5/KimWTkyvIjanUKBjOSP0PlQVssq8JmRomDgE5Zdxjp8ajJ3srGkqLrd3a5SLTnnMx15PUdQPxrctoQHKzSjSy51YyfWub4QLsSRR4kLQs2okZ0jHQ5NdLEk4t44mBYMADkYO9TnpG49mXfxSQL7aunMwMHqvbA88UNGEaQoUfWmc68gb0ZxUTSRgiIuAFUkdVwOufTegrQXD8TkaVJIwYxtp2P6zWvAvIVZSCSYPESCPCWz0AGcfrzrqrWcSqocgSHqvkK47hsEo4pOZo5NB2AI8O2dq1FnltII1dgWC7tpJPU+VCk4BKKkdIQAKyuMGRtf2cAvGBgN0J/WKBF9Ky55gHwbf50M97M2QxXxdfC4/KqPI2iccaQRFbGRdVyMtjJCk4BqT2cBjbSCDjrk7VUsiOmZ5mHohZcYFNMYFTUss7f8vOb+fvrFr6KU/BCfhlxZQxXBuy6u+MaCv51bNxW5iaDQUBXPTJz55oVr6a9SM3Sl4I5H1aXIKlTgY3Gai8kJdTCpcNt49iu/vOallnWolcWPk9k+J8Re6niaUjKqAMDG/uprSAysXc7etDXCB01AYwcAZ6VoGdIoVUEZ01xZJTnKkd3xwwXgoglRZ9z0yPzqMki8wydhQiXIkYfdsD0yQQPnirkbKHUFBHXBz+VbWDdk/5OJf8ARdPdpIVVVY4GScGlVTS4Oylh56sU9CxNaF/Ixf6AYuCwxSB0ll1E5ySOvnWvawW8IdXXwudRJ3OR0oV4D2k/GiOWf7WMkDOB5Vzym32NQS6Cv6PFzbIbdyJFk8a59tAO3u22rkrnh/LbmcSvAbuQatCRdxtvXb2oayVJtypONWn2enX1Jz8qvuW4XxEL9rtwW/qyouGB9P0a3jycUKcL2YdkltLDwlHRAwt2yB4STqxnPz+dVzcMRbubn3C6i5IxFq8Pbf3VozcGu4pYZ+HXEd1FESuCBqAJz22NAX15eG45SoYkXxAqo8e5Gevfrii9jrRfZ21vAyzq6Sgf1DHpzR1zw2LiEEhAMixNpOk5eI+XqPSudbjEZfTJfIGU7BkORWjwvi6C9j/00FC2WGMAmmuUHyjpidNUzI4nw2e0GzF4cEIyjqT+FTiX7MIoZSRiME77j3/Gu6kt4bpdYKq7basZVv4hXAcbSa14nN9ospoGc5RA2Qw/tA9MV3em9TL3PmcubCuNRLpklOW5zBQhK47GoiRpZrcGRQJAdRx1GN/161Ut8iYWVGwwxnHpV1qY2njh66kG6jVqAJGK6sijdxIQ5VTLIjNJJdQhw6jZGY7jO/08+9adtwmJIJcyFsKFIJOB5/jWZILi34mpJZYSqjUwHiPlW0l4qKwVt5AMgYyP1iuXI3ei8EjFFgtvfSQK8ik/2SRkbb5rpLZw0Nqe5XqT5ZrIaa4fiDyGMcpNhuDn+VF2szRQYdXYhWXKrgLnpQ1aQqpmcbIXB0JLN4mIYFjgdTn8qOt+DxLZNypWLMdPMO5+FVWsk0bOTExVnyGwPL3nP+FaVpdoQ8KkkA5zjAz5HyrEm/BqKVGFFaPDc5iUu5DRkauhxt8NqnazyDh3NeQ6y/j1HUABtj6ZqN41zdCZ7IEzRsDpGASDtgE4880RbyyRcNZZYzGw9pHTBBwNsfHpVbtGa2DXH2l5HMUgCrHqwMZztjNTV3aGBiyBixQnqDufyGadpR9rkKpKBpC4C56DqDQr27YtuWJmEJJI041HIIrKnE17UmFvPb/ZzNI5Klihy3erA0WoBskFQc5PpQkcQRAhtSw1asdd/lRDPIzZaBum++34Vr3F9mfal9DXHJktAkQIB3XI8+tC8tubGIzhQwWnckwsq+EIdhmi2jQRxENuo1N51xybk+K8nfCKxx5MnMIeVoVvDGfEfWsxppUmymCnfJxSub0vLyYl1AHc9hVUmoEOzaQO29d2DDixx+T2eXnnPK/0WFi02vSFU9cjOatdhlgmQCPKs+W7ePDCIFW2ByagL9wB9yv941fjh+zneOX0GESEAFI2x8KVB/0g/wDwE+LGlTrCPhI2ws8hH3elfeM0WoJA270hNH/wh/dNWCZR/ux/dNeA4Nns8kb3D5opITGniIzqBB7k0puH2sxJCCNz1ZABq946Gs/hFyVvEXlgRvsx6YHbrW/JCB3IPruKajQuWzneIR3XDIudDMHBIUYyCCfy+OPSqUKGzeG8TJYFlPdCe4ra4hZyXVvy0K5DBvPpWbcIZoVt0jLtCBrGOm1K3Zu1R59xS1uFuwGAJ07Yq7TEmjnBoCfZc7q1aDI8vFJoNUWVYDEsmkjNA3FtJeSXUpQgLtHGp2UjbI9Nq9LGvicGT8g7h/GrmxdRDMskfTSTkYrq4+I2PGLF7K50x6xsG6KezL5GvPo7N2iQRxZY7sRWxZxfY1zeCTUwyfCTj09/86UsSfQLK1ovm4VJBfmGQcxE6sNg2f8ACi7e1kjVw0gVGbLLjAYnzrMuuP7KkKOAnR26mhJuMNJsXZyfLpVG2hVezoJJLG18byLq8+px7+tBnjXD4pXaKGSSR9tk/ma5qW4mmypGFp7WF2UlQxpXStjSt0dMf2gJhCrZjCgDxyDA+QpDjUpjZeRACBsOYSKwuTKNhExHwpxBL/Yf6VPkV9tG/Hx50Qg2gOOojl/mKri4rZJPrkhkiYnc4BB+VYwhk/4T/IUjbvp9l/lRzQe2vB1Ec/Dr0DRMQwGQNWk/rfHxq8iaPElvMWAI1ZOcgADB+Qrho2lglYpk42Oa1LXi8keMqU69Dn3VuTa6ROMb8m67NGCbiPWxB0uu3wPwqwFAyhXBVsg52KnbbHl/j0oCLjanAdeavp1q65mgmKzRMwIGSuCM7d/n9Kw8cZbaBylHphSam04QHUdiTj9dKRRJJYxOpCK+Ww22KDsnUi4WdWDRg4bOR76lKP8ARuYJxg9T291Zhjg+kDnLywciNXuAuNJfZs9KCnuXmPKgOEGxankLSrhQUhHfzqvYLhPCo7+dVhBQ2ux5MssnfQ6BYU0Rr8qWnfW5y3lSUDT4RgdzVb3ccanSrMR51q7JpUSkj1IS2OmwoIIvkKsgumuJjknGk4Hao4ArUUJsQRfSlUHGSCaVaoQb/TSs29o+P7XMUn/xqScYXIVbZiDsPGufwrQF3CswhltRgyGHAUacgZwN/wAquvuAWz6ZrZNLdcKNm+HnXOoRfgvLlEHgucEao5Fyc5BVsfQfnXVW37SWTAKzvG+BnVkD5nH4VwWqNHYAupz2O1TFwBsJmB9aXsxZn3Wj0qLiFrOMrLC3vbH1q5niKgtjB6ZOR8K8zSfVIVXSzKMnbBHxotL64iUMHZQTsdfX51P2Nm1lO7uLGKdG1IBJghXxuhI6jNcbe/s63CgqG5LiTJUkEHbG2M7fWrk4/fpY3NyXV0gTJ1DOTkDGfjQXGP2jub2wW1kiRCxjbmIxUr3Ix3704wnF0DnGQHw2IC8dpNRjjyXCyMMAdegqjiEVy6XVwzHXo1kBugGO/c4rb/Z9NNvxGQyHHK3AHUb0Dd3EMdrIxYnXGYgGHU11pNI59NnMqXaRMliSCfxp4mZY13I3PWpZxnx+IbA1GMk4GThW2HlWVtmmEnUHl39k4+tF2evWVDbFQxoNSXRy3njPn76P4dkmUsckKo/GsTfxdm4aaK/tLpjmXESkuRg5B7elWfbFCH/TLceLG7N/9ax70kXEikkjOQM9DVSfu98kZJOehNCgg5uzde7UO+Lq3ymR+8bz/hqyKWR49epSME5G4+tc9McqWxuT1rf4eP8A9d5eH8qxOKSNwk2wYM5jyHOokY386Z5ZeUr6zuSOtMvtL8TtVbnwFfZ0setVXdE2tWMDIs8mhiD16/GtCziuJIuYC6gS6QreYGfI0DBvNkkeZ79q2uGFjCqrJpGvWQT2wR/Kht9AkmthFnFJJNO0hGxwyDbrjqfL0qi+FxFmURK66jiMk7n3df8AOtOK6htpp5JJFUNHjY4Ge3xrAuOK81CrMqPv06gk5zUIKSdm2o1RJLp7hTzkaOReqFSAKqe5jEgXDMS2npgUJKSV/etIuR4mHnVTEgqR2IYe+rpWSLJpZDy25nU5x8qsfYuu2X2GR61RNjxr2DbelE3IHNyPIYNOhWVWrFLhRtu2DgVc+OY2Djf0qu3wZ1z3YZq2VCsjHtmtITIlSRs34U1XWaiaYr0AUnPypUOVGlE314abdpJmjXXJK8jOp1MQ59lRj/KtGG7D+HRpA9ghsg43/KrZP9x+uxoC1/1eP/q//Fqj5OjUkcxf6Iry47oJWAx76rjAYqQuAQSQdqlxL9/L/wBY/iadfaX+E1VPdHM1qw3hlvHHNNMzqweH2cfH+VAcT8UlqgGzM0mD5HJ/OtPh/wC+i/gX8VrNb/afEPcn5UVbEmajxrD+w16cYLrjI6nxjH4Vj3U0Ul6sQcEKwQ4O2QBmtu//AP4O5+H/AJ0JYf7EuP8AryfjRQ09GvwkaOHcQ2xlAKx+PACG2UdCzE1scM/2Zf8AuX8RWLx/pbf934irR6JP8jBn8MoA6YzV9sisuon1qif98PcKvtv3dSXZR9FowMrvpbf40fw9G5Lv2JAoFvZHurTsf9UP8RqWbUWUx/kjnrve4kPrUVBaLSoYnPTFSuf30nw/CrbTr8FraE+wd8qmjA61u8NOqyVRuehA91YU3tVr8E6t7hWMnRqD2RyocZPs5xtS5etST1bc/n9ai370+/8AOrE71RE29UCy/dl62+Eoomgcn2lH4CsS69uT3Ctvh3/pP4V/AU0tib0P+06xx2iBBg5BwB13rnnbE+fdXQftV+4j94rnJv3w+FYZpdBseiWGTxY7hSN6rmxyEI66aa26v/DTyf6unuNNCLb0LjI7gmirhFS1jCMGXSDkUNdewn8FEN/qKfwin5EDWo++b+MUTdbFvfQ9v++b+IVfd/vX99HkZCzl5dwxPQr/ACpUOvWlQ0aTP//Z</t>
  </si>
  <si>
    <t>Katugas Ella Waterfall</t>
  </si>
  <si>
    <t>Waterfall Viewing: See the falls. | Bathing: Bathe in the pools. | Photography: Capture the falls.</t>
  </si>
  <si>
    <t>A beautiful place. Unruly people have polluted the environment. Only at the base of the falls is very steep. It's a popular local spot for a refreshing bath or swim.</t>
  </si>
  <si>
    <t>https://encrypted-tbn0.gstatic.com/images?q=tbn:ANd9GcRLZd9ejPL9ikFMZsEm7mMzvBIrNU9_zHwip_RclIGl-A&amp;s=10</t>
  </si>
  <si>
    <t>Kayman's Gate</t>
  </si>
  <si>
    <t>Gate Viewing: See the old Dutch gate and bell. | Pettah Walk: Explore Pettah's busy streets. | History Learning: Learn about its history.</t>
  </si>
  <si>
    <t>This is a very important historical site. But this place does not seem to be running smoothly. This place is important for tourists as well as those who study history. It draws a steady stream of local visitors, especially on weekends.</t>
  </si>
  <si>
    <t>https://encrypted-tbn0.gstatic.com/images?q=tbn:ANd9GcSIwl6G5Ta5L-iko1omkhL7h8mkokXPRVbxobLEIiMvSQ&amp;s=10</t>
  </si>
  <si>
    <t>Kebiliththa Devalaya</t>
  </si>
  <si>
    <t>Jungle Pilgrimage: Join pilgrims on a jeep ride deep into the Yala–Kumana wilderness to reach this remote shrine. | Shrine Offerings: Make offerings and join prayers at the sacred devalaya of God Kataragama. | Wildlife on the Way: Spot elephants, deer and birds on the rough forest track to the shrine.</t>
  </si>
  <si>
    <t>Kebiliththa Devalaya is a remote forest shrine in the Ampara District dedicated to a local deity, situated deep within the jungle and historically significant as a pilgrimage site connected to the broader network of shrines along the Pada Yatra pilgrim route toward Kataragama. Its isolated setting has kept it relatively untouched compared to more accessible temples. It remains an important, if little-visited, spiritual site for devotees making the traditional pilgrimage.</t>
  </si>
  <si>
    <t>Kelaniya Raja Maha Viharaya</t>
  </si>
  <si>
    <t>Temple Worship: Visit the temple the Buddha is believed to have visited. | Mural Viewing: Admire the famous murals. | Duruthu Perahera: Visit in January for the procession.</t>
  </si>
  <si>
    <t>One of very important Temple in Kelaniya area located 30 minutes drive from Colombo City. Buddhist people believe that Lord buddha made third and the last visit of Sri Lanka to this temple. Very calm place. It remains a relatively quiet, less-touristy spot.</t>
  </si>
  <si>
    <t>https://encrypted-tbn0.gstatic.com/images?q=tbn:ANd9GcTyIccdtmm0EoO8ZWeFVBP9y7p_94sGxxj3H8Ctsr_Efg&amp;s=10</t>
  </si>
  <si>
    <t>Kiddies paradise children's park</t>
  </si>
  <si>
    <t>Kids Rides &amp; Play: Let children enjoy swings, slides and small rides. | Family Picnic: Relax on the grounds with snacks. | Snack Stalls: Try ice cream and local treats.</t>
  </si>
  <si>
    <t>Kiddies Paradise Children’s Park is a playground and children’s entertainment park situated in Matale. It is a good place to relax and enjoy with friends and family, especially with kids. This playground is a place where many of the locals come to hang out. It draws a steady stream of local visitors, especially on weekends.</t>
  </si>
  <si>
    <t>https://encrypted-tbn0.gstatic.com/images?q=tbn:ANd9GcQ7-PmZcW0p50ALNooGHEVy5Qe77C7hp3bnTvbgspNFvw&amp;s=10</t>
  </si>
  <si>
    <t>Kirala Kele Sanctuary</t>
  </si>
  <si>
    <t>Birdwatching: Spot herons, egrets and migratory birds in the wetland. | Observation Tower: Climb the tower for views over the marsh. | Nature Walk: Walk the wetland paths early in the morning.</t>
  </si>
  <si>
    <t>It is a hidden gem in Matara, just a few kilometers away from the town. The sanctuary covers about 750 acres of mangrove forests, marshlands, irrigation tanks and canals. It is home to many species of plants, animals and birds, some of. It remains a relatively quiet, less-touristy spot.</t>
  </si>
  <si>
    <t>https://encrypted-tbn0.gstatic.com/images?q=tbn:ANd9GcSJzEgg3Cvfd9oQMRQ6LLU88yTED6bZdH3-G6VZiDdF1Q&amp;s=10</t>
  </si>
  <si>
    <t>Kirinda Beach</t>
  </si>
  <si>
    <t>Beach Walk: Walk the wild golden beach below the rock temple. | Rock Temple Climb: Climb the nearby rock for ocean views. | Sunset Viewing: Watch the sunset over the rugged coastline (swimming can be rough).</t>
  </si>
  <si>
    <t>Kirinda is situated south of Sri Lanka close to yala national park. This is a popular beach venue for thousands of devotees who go on pilgrimage to katharagama, the place of worship, south of Sri Lanka where all sri Lankans visit to religiously regardless of their religion or creed. Nice beach. Visitors are advised to take care underfoot, as conditions can be slippery.</t>
  </si>
  <si>
    <t>https://encrypted-tbn0.gstatic.com/images?q=tbn:ANd9GcQjXhaWUo4zvRWVL7g5JyrfpQUYKQg6mNrjp7xYMxZgIA&amp;s=10</t>
  </si>
  <si>
    <t>Kirindi Ella Waterfall</t>
  </si>
  <si>
    <t>Waterfall Viewing: See one of Sri Lanka's tallest waterfalls plunging from a rock cliff. | Short Hike: Walk the short path from the road to the falls. | Photography: Capture the falls framed by greenery.</t>
  </si>
  <si>
    <t>This is a beautiful place in Sri Lanka. This photo was taken at time of a draught. But when there is rain this waterfall truly a wonder. It's a popular local spot for a refreshing bath or swim.</t>
  </si>
  <si>
    <t>https://encrypted-tbn0.gstatic.com/images?q=tbn:ANd9GcT6H_D7gPSnUa-pmawqSeKGvYbvnreJMRQl2fI4DczFFg&amp;s=10</t>
  </si>
  <si>
    <t>Koggala Beach</t>
  </si>
  <si>
    <t>Stilt Fishermen Viewing: See the iconic stilt fishermen perched on poles in the sea. | Koggala Lake Boat Tour: Visit lake islands, cinnamon farms and a small temple island. | Martin Wickramasinghe Museum: Learn about the famous author and village life at his home museum. | Beach Relaxing: Swim and sunbathe on the long, quiet beach.</t>
  </si>
  <si>
    <t>Koggala is a long stretch of beach on Sri Lanka's south coast near Galle, backed by a large lagoon dotted with small islands, including one home to a Buddhist temple. The beach and lagoon are popular for stilt fishing, boat tours, cinnamon-island visits, and turtle hatcheries, while the calm lagoon waters offer safer swimming than the open sea nearby. The area also has a notable connection to Sri Lankan literature as the setting associated with author Martin Wickramasinghe.</t>
  </si>
  <si>
    <t>Kolapathana waterfall</t>
  </si>
  <si>
    <t>Waterfall Hike: Follow the village and forest trail to reach the falls, enjoying streams and greenery on the way. | Waterfall Viewing: Watch the water cascade down the rock face, fullest and most dramatic after rain. | Natural Pool Bathing: Cool off in the shallow pools downstream only when the water is calm.</t>
  </si>
  <si>
    <t>One of the unique cascaded waterfall located at Mandaram Nuwara. Waterfall is seen about 2km walking distance. No need any permission and fall is full of water throughout the entire year. It's a popular local spot for a refreshing bath or swim.</t>
  </si>
  <si>
    <t>https://encrypted-tbn0.gstatic.com/images?q=tbn:ANd9GcQlVvBHvdbzLI3fW5gGMYKGaIJfUmvzYy-7Zgys5Y4LRg&amp;s=10</t>
  </si>
  <si>
    <t>Komarawela Rajamaha Viharaya</t>
  </si>
  <si>
    <t>Temple Worship: Pay respects at the historic temple. | Heritage Viewing: Look at the ancient features and old stonework. | Peaceful Retreat: Enjoy the calm village atmosphere.</t>
  </si>
  <si>
    <t>An ancient royal monastery complex boasting rock inscriptions, structural ruins, and deep ties to Eastern Province history.</t>
  </si>
  <si>
    <t>Kombukara Nature Pool and Secre</t>
  </si>
  <si>
    <t>Natural Pool Swim: Swim in the clear natural rock pool. | Nature Walk: Explore the hidden trail and surroundings. | Picnic: Relax by the water.</t>
  </si>
  <si>
    <t>Beautiful small waterfall that invites you to swim. There's an option to climb over rocks to 2 higher levels where one can also swim very well. The water is clear and cool. Visitors are advised to take care underfoot, as conditions can be slippery.</t>
  </si>
  <si>
    <t>https://encrypted-tbn0.gstatic.com/images?q=tbn:ANd9GcT4TvPgpeFGQYzyvn-EUYmtpyarK-L8-kFoZiyWZEq1wA&amp;s=10</t>
  </si>
  <si>
    <t>Koneswaram Kovil</t>
  </si>
  <si>
    <t>Trincomalee</t>
  </si>
  <si>
    <t>Temple Puja: Join the prayers at this ancient cliff-top Shiva temple. | Swami Rock Views: Look down the sheer cliff to the ocean, sometimes spotting whales. | Deer Spotting: See the tame spotted deer roaming Fort Frederick on the way.</t>
  </si>
  <si>
    <t>Koneswaram Kovil, perched dramatically on Swami Rock overlooking the sea in Trincomalee, is one of the most important Hindu temples (Pancha Ishwarams) in Sri Lanka, dedicated to Lord Shiva and with a history believed to stretch back over a thousand years. The temple was partly destroyed by the Portuguese in the 17th century and later rebuilt, and today its clifftop setting with sweeping ocean views makes it one of Trincomalee's most striking landmarks. It remains an active and important pilgrimage site for Hindus.</t>
  </si>
  <si>
    <t>Kosgoda</t>
  </si>
  <si>
    <t>Turtle Hatchery Visit: See baby turtles and learn how eggs are protected from poachers. | Turtle Release: Watch hatchlings released into the sea in the evening. | Beach Relaxing: Enjoy the quiet stretch of golden beach.</t>
  </si>
  <si>
    <t>Kosgoda, on Sri Lanka's south coast, is best known for its sea turtle conservation projects and hatcheries, where visitors can see nesting turtles, hatchlings, and rehabilitation efforts for injured or rescued turtles. The quiet beach also offers calmer waters than some of the busier southern resort towns. It has become a key stop for travelers interested in marine conservation as well as beach relaxation.</t>
  </si>
  <si>
    <t>Kudagala Forest Reserve &amp; Monastery</t>
  </si>
  <si>
    <t>Forest Monastery Visit: Explore the quiet cave hermitage and shrines hidden in the forest. | Forest Trek: Walk shaded jungle trails and listen for birds and monkeys. | Meditation &amp; Reflection: Sit for a peaceful moment in the calm monastery setting.</t>
  </si>
  <si>
    <t>Kudagala is a forest hermitage and reserve in Ampara District, part of the network of secluded rock-based monasteries established across the district's dry-zone jungle for Buddhist meditation. Such sites typically combine natural rock shelters with simple shrines built for solitary or small-group practice. It remains a quiet retreat valued mainly by monks and local devotees.</t>
  </si>
  <si>
    <t>Kudumbigala Monastery</t>
  </si>
  <si>
    <t>Rock Monastery Exploration: Walk among over 200 ancient cave shelters and stupas in the jungle. | Summit Climb: Climb Kudumbigala rock for sweeping views to the sea. | Wildlife Spotting: Look for elephants and birds on the drive near Kumana.</t>
  </si>
  <si>
    <t>Kudumbigala is an ancient Buddhist monastic complex near Panama in Ampara District, believed to have been established around 246 BCE during the reign of King Devanampiyatissa, and built across a striking landscape of large rock boulders within a nature reserve. Archaeologists have documented over 200 rock caves at the site, many bearing inscriptions. Its isolation deep in the jungle near Kumana National Park has helped preserve its historic character.</t>
  </si>
  <si>
    <t>Kumana National Park</t>
  </si>
  <si>
    <t>Birdwatching at Kumana Villu: Watch thousands of nesting storks, pelicans, ibises and spoonbills at the mangrove swamp (best April–July). | Jeep Safari: Ride through quiet jungle tracks searching for leopards, elephants and sloth bears with far fewer jeeps than Yala. | Okanda Beach Stop: Visit the wild beach and the hilltop Okanda Devalaya at the park entrance. | Kudumbigala Side Trip: Climb the nearby ancient rock monastery for sweeping jungle-to-sea views.</t>
  </si>
  <si>
    <t>Kumana National Park, adjoining Yala on Sri Lanka's southeastern coast, is renowned as one of the country's premier birdwatching destinations, especially for the migratory waterbirds -- including painted storks, pelicans, and various herons -- that nest in its Kumana Villu wetland between May and July. The park also supports elephants, leopards, and crocodiles across its coastal scrub and lagoon habitats. It offers a quieter safari alternative to the more heavily visited Yala.</t>
  </si>
  <si>
    <t>Kurunagela camp site</t>
  </si>
  <si>
    <t>Overnight</t>
  </si>
  <si>
    <t>Camping: Pitch a tent and spend the night outdoors. | Campfire Evening: Enjoy a campfire and barbecue. | Nature Walk: Explore the area in the morning.</t>
  </si>
  <si>
    <t>The location is good and isolated. I went to an OBT there for 2 days which was on a satisfactory level. Even though the accommodation facilities are yet to improve overall is good.</t>
  </si>
  <si>
    <t>https://encrypted-tbn0.gstatic.com/images?q=tbn:ANd9GcQrWg2LQ3eSmXndWFUDKR6dwYuecPtr-FU7HQn02PrBAQ&amp;s=10</t>
  </si>
  <si>
    <t>Kurunagela clock tower</t>
  </si>
  <si>
    <t>15 min</t>
  </si>
  <si>
    <t>Clock Tower Viewing: See the landmark war memorial clock tower in the town centre. | Town Walk: Explore Kurunegala town. | Photography: Capture the tower with Elephant Rock behind.</t>
  </si>
  <si>
    <t>The Kurunegala Clock Tower is located in the heart of Kurunegala, Sri Lanka. The clock tower was built in 1922 in memory of the soldiers who participated in World War I and World War II from North Western Province and died. The Kurunegala Court of Law, The Central Market and the Central Bus Stand are also near the clock tower.</t>
  </si>
  <si>
    <t>https://encrypted-tbn0.gstatic.com/images?q=tbn:ANd9GcRN38nbnaqSmefDywsOnI2yshe5lmqQVAeVxL8eVLsJCQ&amp;s=10</t>
  </si>
  <si>
    <t>Kurunagela lake jogging path</t>
  </si>
  <si>
    <t>Jogging: Run or walk the lakeside path. | Sunset Viewing: Watch the sunset over the lake and rocks. | Birdwatching: Spot water birds.</t>
  </si>
  <si>
    <t>The Kurunegala Lake jogging track is a fantastic place for runners of all levels. Located alongside the serene Kurunegala Lake, this track offers a picturesque and serene environment that makes every run enjoyable. It draws a steady stream of local visitors, especially on weekends.</t>
  </si>
  <si>
    <t>https://encrypted-tbn0.gstatic.com/images?q=tbn:ANd9GcT4gVLYT6WzBcELX0L4knbh8MSeqrTJ5scXD5Fj3oJLrQ&amp;s=10</t>
  </si>
  <si>
    <t>Kurundu Oya Ella Falls</t>
  </si>
  <si>
    <t>Waterfall Hike: Hike through the hills to one of Sri Lanka's highest waterfalls. | Waterfall Viewing: See the tall falls. | Photography: Capture the falls.</t>
  </si>
  <si>
    <t>Beautiful waterfall in walapane, much less crowded. But difficult to reach if you don't have an off road vehicle. Then you need to walk about 3km. Visitors are advised to take care underfoot, as conditions can be slippery.</t>
  </si>
  <si>
    <t>data:image/jpeg;base64,/9j/4AAQSkZJRgABAQAAAQABAAD/2wCEAAkGBxMTEhUTExIWFhUWFxgaGRgYGBgYGBsaHxoXGBYYFRoYHyggGholGxgXIjEhJSkrLi4uGh8zODMsNygtLisBCgoKDg0OGxAQGi0lHSUtLS0vLS0tLS0tLS0tLS0tLS0tLS0tLS0tLS0tLS0tLS0tLS0tLS0tLS0tLS0tLS0tLf/AABEIANUA7QMBIgACEQEDEQH/xAAbAAACAgMBAAAAAAAAAAAAAAADBAIFAAEGB//EADoQAAECBAQEBQMEAgEEAgMAAAECEQADITEEEkFRBSJhcROBkaHwMrHRBkLB4RTxIxVSYoIzckOSov/EABkBAAMBAQEAAAAAAAAAAAAAAAECAwAEBf/EACcRAAICAgMAAQMEAwAAAAAAAAABAhEhMQMSQWEEIlETMqHwM7HR/9oADAMBAAIRAxEAPwDrTiYAZ8J+L0jSlxZEyyTi4iqc8IJUe4iXjbGMYsEYhosMNiHFYoPEizwUykBoxcomNDuHnRXS1hoNmaFGRdyp8MBcUuHmQ/LmwoR3NGPC4XGZ41GGM0ZmhfPESuNRhrNGs0LeLEfEgGG84iK1wsZsR8SMYMpcQzQFU2EMRxVIomp9oICxmzgIrp857xX/AOWSamITJ/WCkzEpy4EIEV1gfjAGDQo68LzY0J0BmzOsADZCYobwuuNrXA1QyAbAjSjGlKiClHT7E/aBZhCRiX+rs8FVFaWrBZGIy0Nj7w9fgmpUOpmNUQYSgoPrC6pZNU1iEucRakHeiikiZmEHKYssNiGipmTnv2hhCozRvS/k40GGkz9Y5tK2q8OyMS8K0MXaMRW8OYfFC0c+jExKXOrC0GzrEzY34sVeFxLikFVNgDFh40DmT4rjPgRxMCmYsvHiKsRCcoFVhGxjJIdzmP8A/L9dWgGBz+JnSF1cXWA1IqsZiOdTWc2teApm7w/URssJ+NUv6j+ICFwquZA/GMahbLFUxoD4xeFP8gmN+KweDRmxlSoEVmADEubxLx3jZBYwlcDmGNCY8RKngWC2bBF4iVRB7xoTOnpGYbJqMRPaNFXeME0WdvOBkZHLYhCpZa4Gtv5huQywKsREuJpDczAb/aE0lIZlbPb3eLp2jmacWW8hZH1H3/q8GSAdh1hWRMcAuD8sYnMDMbbj8Qg6CzEiBqVo8EE5vntGykGvpBTCRROaGcOt4WCE71gktJFyYLaY0WOiZBJMzrCbxIGFKFvhMVlNTFl/khrxyzw3gsT+0mh+8CjWWE7E1iWGBWR1LDqfmsKKlElveLHhiecADoNhufm8BhRaYrllqZ8oQa9Ty/zHKLmt0jov1KtXhZU0SGfTUAfzHIZ8xAjJBbCMT1gkoe0Yo5Usk1Vto0BTNplEHYroJMI8zEVRFFT2iahBWAUYE0heYYYXb57wJKHqYyYGjQFIy0TUwF3gSlUjC0aE0gtBlTDAJA1MDmzqxqtmDBZiRmjSFTMG8FwiCe3aA6WWAOh4HNlEHX0eGMwtR/X1gaj8H+oj3djUUPEFBcqtPS3TeKeeOUEH3f5/cPS56CjKrm7O7xteESQwBdnZ67kddfSOqD64IN2a4dPo3wxaqnU0A9T5RVSEoJYfU1Otz6wyVlLOe/4OxjSVsyZYhLihc9bQMFixTT39PSK+Xiymyq+xhwzCWc/YiFpoazQU2toL4haNBaTp6D5WJJlDd/aDaCbkqIu/8Q0JkITC3WMQswasKlRYFVIGFNAUqLRPxYKiMpHRcNx4mFMssFGg2O1SY6nBZQSjw1pUkVJSwO5SXYx5oiYxBFxX0rHocieSZatcqgb2OQv6bxKcaKxdlJ+p8eFnIg0DEmznSmwH3jnxMyuxqfYQTjyv+ZVGf8OLdIBhQAqutP8AcHrSEtuQUpKUgGhJ9oGFAQXiE3MXhBSo0cqwzaToelTKP1gil1gGHFLwYTRoHgM0TDaIeJ0MGTMBcNpAje1N4FhkaWXt/UDUxpt8rGlzm9YCia7v5QxNvwaQtjC2JQ5JhjQN7xFEmo2Gn5gduuQv8GsBhv3Gr26Q5MXoAw10JgZmU6fLQNUxr/xEJNydjJJGLVtESo/A8QUsnb1jecCkMosxyQmAOQghxQ1b2hzDy0ukknMwHLrrQjX8xtM4Oz3+1YYkiWCCpDHQgnzetP7i0pV4ciibxSWUClm1pXrWBpn8zNmGhPzvFpOlhQfMxDVGo69YQxPDn50tm10q7EsXhYciayNf4M/x0qH1U8nekDUo5soPLSrPpr1vEJhKBUMdQbEfb4IKMOs8wpR2zD2EVQbDpVRgaekHlG1YqlrKCH9DEhiwdI3VhUi0mB/n8wPK/wCYBLm7awVBJekZIIVJYNAiqMComDDIOzYS0eg4GRyJAdwXejF0n1qBTpHApj0j9NzAuQgm9B5iE5NFOM4r9QICMQsO9RvsP5irnF2jof1jwxfiqmsChxUF20r3Mcwt/wCoKzkDwxpa42EOze8KeK5YwwmaBUmFeAOSbG0obyjYlF6tCpnBWveGJc3NAKKSYaQipftAFJU9DS1YJJJf51gE96kG8L6aeiM6W8BBakF8UBnJr6aWiCp1aAbDT3g2yNjCZQN37f1BilRtbeBlqNfpWCGadB6vHPKTY8aIzA16doBM6fd4MFE9/m0BmTOp+dY0W7M0CchV9K9NmjcwOaRBYq/k8a8/5+0XTVBTwUhlBKQQczHmS4LdU0tDOEm8wNxbsbCkUuHmEAkBu1q0/mLHCrcOKMQa37iG6tLJzxdFuqURQF0kG/t+IBJWBQhIo1XbVn+bQ2icCHoas43/AIOvmYDjcKFENRQf8t2hEi0uO1cRKRiBVK7gk8w12H9RvxdR9q/3CuPJISSm1HGtP3QCSsClvm0WSs57H82cM9/SCIwaQxJZjU1b87QkFaA22/EMyTmDG/UfKRm2hkywWGS4D1tWmxHzWCpXms9ISky1s7Bti1tKRJAINS1Wps9IVDWPJIaF1KY9IwpI9fnlAysG+7fiGjsew6pmsdp+mcUoy5adApvY26NRo4PM5y/KfPeOs/T4JkBrhZ36EH7wZrA0Hkuf1DUKSDVaaC1iDWOCmTmFtK/63js/1DOKDLANSp31oze/2jiOIAGdMCTTOR7wsFgMwEt9dYHMBd3hogjSogMweuohyVGSZpoMrneHJU0ilLef+oWlKA6GN565fny0TkYsBijdn+8QWc3p5wBc0BNiWoX9yDAsPPBNbDUmE+Q9nVBct1EVFT/HaCYaRV3pYUc9X2gIxvMEoBI6Ur/qLKSpIASFM24FerxHlm0qMsm+UVBD9fjwvNmdfx86waYxFT6OfvWAeGm2cpez/wAF4jFoZhVTGQOt/lYAVUrBp0weHlGZ9KP5vprtCSCrwyC2zAaNQkE0LfKxZUaTVhWpQmIoHWNJUKCw6keo+axvxVft9svu9jAboXscdgwSkhNDoa+/l3g/Dp4CgFuCBf8ALwCTJWQClhs7j5WJlE0vmSkPrRzsxTHU+SCw2SXwXPh5Q6Fu+9G2BZ+tvbWWExiRSuYHXzp0qbwnwwlCWVlyqdgWYm77/wCjBxhUkmlSbguBr/UTXJBurKQbRrHrJDBLdf47MRFRiEkUJcRdYhTkpOutEnf+Ir8dMSbgg0cU9ulotCVC8lPKFUKADihiyw84kPq0V8ku8M4ZLi4DPUlu7w8iaG08SKaF/b7l4YVjQVCxBb/XeKufJKqB3Ae32MbkSFCpBBYECF6qhk2dLhZjgg2Zw8LTkMDrEJCyS72Z618/eHJUsAMRmfY26xNYLxyhHDH/AJO+/rHZfpNbKKbPcXe7EHTX1ilwGADuRpb0a4vQ1i9/ToablYNWvk0NOVjRjQ5+pRWWouwItpHCcQlgTVgWzH+vKPTuMSQtOWhIYtq1o4/jHCMsx9wCCLWAjccjTX4KKWij3b5rAlKq8WOJlgUhVaOlY12zUAWj9xbYfzCqp7E3EHmpU9jTpEJWGUakeZ/iNa9JyTBSZ6l8rUt8eLWTJTqQB6At3vCoWXASGHUH1p8tEp05nNyAaMdxWvQaUftEZyb0LotZKNAoA7ACg2G0EmJY3VXQD4GiplY4fV4d9r/gw3hsQWNSp/8A1bcmOVwayxk0TM4EskgEXBb7xLOdVO+gYj2haaRmZi7vuCNfW7HWNKBCgQnM+tCB7AtTqP5yV6BbGu9qWpGwBcuBC6sQoNmIr19WBbpvElYlGrD2MLTQW6CennT3y+cRL7A+b+VqQRJBYj1NXgTp1Ujo9Pv5QLAchPmqWGJvs+tvOsCUjIx5iTTlU5fyAy0c7QOegVIJSDbVIPUg0Hr+dAskilQNQ/kQbmndhWkZOKKfAXNqyiARrfTmI6w2ieyTkWQbEMCw6NUfaF5UxIFVFI0D39R094MZSf2gHV/pI0sTWKcdSnhUJJUixROQQCpTkXoQdre7xrGSkTGBUAf2kU9d/WKgvlZiFAUc/dhAZWLWA5NiXoI7lH1E0y7kcNKFOWUBbvoSP9wXHSMzBKWU306NsOsK8MxtaqodGc+Qi4lTUqo2nUHz3ic5NPI0VHRy83FKlrAy0YONQejWMPyeIJUCKuBQ66fVb+YtZnCEqDBqgPUP0YlgPKKnGcOUgnw5JItuqz/fZ73ho8sJ4FcWguAxgcsOYP0638zpFtJxQOveKSVIKKqSxNKjvRt4JJnAukOCOxZu9ozp6DFnWYWe1RYgN89If4bxDLMCiA1bix0NI5TCz8oYlx3tt5QzLxStGO+lNxv2hexZTOs/VEmniZxzpFrEctS+jUbqY56YtYABPK9CC4A1sSz/AMxdcUnqmYaUhPhlg5JcNQMEkDv6COYmSArmCqvo2XqX19IHZUVr0LmJr7mx83iSFJ3BNbMe/nFbieIZKOHHd4hgsQVgqcBqOaP6RmnVkm1eB9eLBOlL0tApmLCh8Hk7QhiS6wOxzMB/YpvBZ2KZIygpcUsPnnA6CNgxjFhZDhiLD2baz/3CSsUVKqxL6k+TgaRrE4xRFB5gN00v/cQUMqHDOanz6+kWSom2P8PWly5tUEPpdttbw5OyLDpUxLVo3R3t/EVGFSxzqUxZwLns3wRaT+HHMQquuYGkR5EruwpYBzZjt+1TMLmz0NbdDubwzhnAcPqGCgWannbQQnNnBny5yLu9G0PV6dvZMz0KIplFmB7El/PSAoNoFNOy5xWIYAvmG4pXU2J9dYhKxMs/tBLXSWbYAWeKvHYkHKSokBQpag6PZotBOltVJ2uD7u8JKNL0LdjMtbgMVG9a0963PpEhNCNFqoK1r1aAjGpBZlNT9z36Ee/fzPLn7EtoSoV9Ii07CcdNkhJTR0qPNkYqF2KfPfY2gcrh8wqzMoAf/jS+cDMeZQGwL0cU7iG5LDL4ZCSkChBqBfR3J+VhnDYgZkqIZQctS37QrQhvv6zUnHRZ3Qvh5iMhzoOeoCTysLakAElx0v1i34ciWUnLlegOZQqNwxIZwQ3SGMN+ogA65aVBwOVwBUBWnXaBcQx0mcgplIloWoGrpSseX7u2tId8le0StsnMwaFMSAFDQKIU+oDFiYrMRgBmZSqm9DlJPuLPFThsfMSopYBSSaHVi1A4Idu+8Xyp6FmixnaozAaPfcbEQ8OWUJfdo1WIy0CUdXY1cEEbAaRmFmkkEp5XuwvU9zBZ+DmqDy1U1rcvs9TpSlYUm4KahLqqNgXetfN2jqU4P0WjoJPEwyR9VNSMxGrA1+0DTigpw/8AQ87aRQ+MlnUXrWrny6xDiM8qQClZcXHNUVYudv5jR4YrQe+C8M1JSpKFGocFnLeQ6Xpe8JTMWkVpmNHN26+0VWCx5o4t5eur9TDGJl5y9nL2a+28NHj6uhG70HVjA7v869IsOHzVE3DaEfan8xSpQogHI4A1d4YwM8uVdKAM4767w0o4wFHSTUlgULCVGxJITWnMQ7Nd4zFYafimTMkoQ1fEFHAvQHKrvAMPRCTlotR+oerUGYubinWL7h+CTMKZYMwldDmzFFnDkJZqfS9X8xzKVOjrirWTmV8BpzKIAer38vjxJ5aAyQAwDm5b5rHbcY4HOw48RK0rQkpfMASxOVw6eUgkXcneOf43hHzFK0klnKib9yCAO7Qzm26loSXF7EosPiSXGVxoojTz0gS5IYuX8/nu0MEchIKlAUsQH15jRQpFV45Kq0BFOvz8RWOdELIzSUU00sd6iJ/4+ZIL1NrfZ7O9o1hpRWok0SAN3Pa7CHDjciWI5dQ1R876Qzk/BSScImhfKAzEtVTvc6BtofSRMVmClAJDglyk0sTXXp5G0Us6YhbKZtGDj+9IYHEiWluWDMDbYhvWFasdTrYDCYhBUvNRTjLYdfMuTDM3DS1GjgmwL7XH90geKUlIqAHcA1HbzhHCgEkFutSPfSDvKFc7wGXheUKFuu/axo0ZJQXqoh+/nBJk4kAPyu93I8+pr6QNExjmBBapB1f+bRnYZJeDyMqS6l1HnQlyXuLQZXHUJoE+6k+weKnFz1EuLaB3bSnzeEZYUXavlC/pqWWLYaXMCMyiHUyXfQas5qTteE8Xj+RUzmdwH1L6ONL+kO4jh8wJfKoNQuzNck1sCNbuDFPPxYIKGSXKVJselQ1ySY4+OpZR0vRJM8hKR9IAoAHpWrHSDHGhg66W61au9PzDOFRKdlAkgAlOUsDQhwxcV7NA8bwoJJVkUUliEFNq2UxcNUdn2MP2jeUSoLjAheVUpZUtmcsbUfRjpUVDQhiJgLLBOcEZgQCei+g/k3i2l41UtCUyklmLZQohwpyFXvRoS4nNJmOEkqD8mVRXlejOAWD2btC8TzQtejmA4wCyVqdwwU4DGtC6uh9oeTj1rUUrkkpzHnYixoUl+Y6sQLvFLhcJnSpwtBqAk8p2KSCP423h3DyVoQCZgZg5RQgA2qKi1OhprCzhFO1sYdmSwpWUSwDS5d3FCCSfQ7vEJnC1JNEA3oCCOg+U6xKZxgpIQc5LA5kZQ4qwuxeBTOKFKy45c9GZiCHCgQ1wX1vBhy8qA0gKcG6lD6SAHa4NDVOzHvE8OkG5DGxf3D6XjosDkAcSgdMxRmUNAFAB1d+ggHHOBCYc8l0WdOXKHGosRRrAgsYeH1qlLrJV8i9KKR1pWzlSjYbWEHmIaYApLOM21df4tC+CkK8R/F2BO+gA6aRZCaH5w5GtGsNBfWnWOmc0gpDvBOKoTNlmYrlUpnVpoL9W7do7pHFJCiT48tk7LD+TF/SPKeKyc0t0IsSaEv3Ya69G0rBeETpmUFSSSkpc8rtcFixNK9aQnRTj2izo4+Rp9WeyzUf5mGWEKy+IkAEpOVwryNSmPNONSJ6CUqSFqJbNLLj/ANk3B9Y9M/SRUcJKZz9RNMpIUpRch+vWOe42sGeuUB4Sk/8AKZoARQJDlZV9SXUOrq6QYfJRnDKX4SRmSoqFwd+2n3ivWoFVmc66B9Ivf1JwCZIHjKW4JAS9CaOpm0BeKWXPzahr1A9nh0qycco0wCzlPKFG4D0L101iExCmULkX7/mHji5YJzIykOzOQ+nWE1LQSln2J269RBsRqiWGl0/awq5D/PSMnSWUCRQijB3pbY21hhcgMzUIvYCzVjU1JKeUpLb3Yb6MzeotAUrNQLOspysGdwxr5aQSTJSQ71bUN8ETkYYpGZKkmpoKgeuztBp/iEApp2Z/Rrdt+0LKX4BQgJCgS1Rf+obwmJIAGW+wBetq39dY34ixcBIJvR/S5iBxQ/ag1NRS9HvQRrbKNUiZnqWoJyMC9Wt52+GFlSFEnLVjoH6i1BSGZ80BJUC7gPswNXIZrj0icpBWkHm7N5hresbt1Vi0EkzQUggUJqaKDiju1Bo9WcUMVfEMChB8VKCpIJJUAhx3zh2c3SYp8JxoS2Cc4ZJcFVM24BDebfmLvhnHQtbKdNGNAb2II96kF48lw5OLMdFuxz+FwynKioocuGDguDmYjVqRPicopKVmZmTYPcdCk/SqgbokbBrFGDHjLAWCDewamwbc3bo8Cx3DlLWFICTZJCgGLAgEPdwnpHWuVXvwF4Ff88hDUF7P0L0ub1O8OFalJCwhyNfpAFwSTdrbh4WRhMhU4ZTmpDFIoaeYLRpUtSkOhKiTd3PM4OboGHsRGqNpxAnQrPxTnVyauTQD7ARZHEOjKXY0zMGduh94VTgZ6ScmU5nB02Y8wDtRiLatBcBIm5z40pkh+XU7EAfUA94pJqrRtvAsjCKMx1EpKtquNKhWt2i7loUpOXOQUWzJejitOht8CuPfIpklaUm5SqjhykqFtPUeZpcnFMCJJSzBIURLbsV5cwbbfrE5clxUroPV3RFGKmImsSX0zKJSQWbqRUVaj1jql4suAeUqAol3d2Lh2HnSx0is4fjps10BCwUBlEjlBocqnZlNW71G8V/EsetJGeWTsaKa4ZhQG/cXsw5JRfJOqybQ7xFKwSov1IIuRdSdzSvXpCAWluU1LFlXZj8rqRbQWG4hmIqkFtAQ4PTytbSJjDhQUqXQj6kODQah6j+o6IyaxIBYcMLPMcM9thR6OadouvGKpeVTcoply5WNQxNRtSKPC4k2ISr0IZq0Jr5CLfCqlKXKQoK5lBKRlzHoGTXqQLdbxWMs0isGj039DTVqwgzZQzpTZyBRlN1cbxy/DZ02cZspakrKhly/SyQoFZy2rtpS8d2uVlk5JTBgGoHoU6Gjs/nHnfEZaZXFBlIZabAUBUk5rXrXz9emGbKNhP1XLTicOkJWklBA5KoCkoUohj9Qo1DrrWPMMRMKSUkgkagX7PpaOsnTRLlZyouZ6yEVqMqCuoUG+ve8UPGJTLmBI5UBJUw+pJYFQ2uny1iyWKIcivIkiY7G7GxFLtR/OG8OpIcVP8e8KypoVUBjoGpZmIHT4YZwiCCWeml6NWtfs1dIVkVvJE4kuoBlJsx/hoYw0g2oMx2d+o8u9onh5EtT5CMxJLUFKDQRiglAdwahuvfyem8Tk/EavR+XxNCQRkYbgBgOoOhOpMDxKEMpcouXsbbsgvVvmkV0+aQ/KRnuwIrbdr6Ab0EQwqx/8ZADsxP1D0pdoVQSyjdi0SsFLO9SeWvkej/eK2fgrFJOlbXaJYfxEhWUjPs2YnUjb87QOVilJPPnKvMeTAjr6wUmtGbslKlgcwCz1YEf+WnQGHcDKBT9Sww/a7N694DhsXndwlIGiQElz3ZwKnX7Rs4hZAKSEp0dj0sxaBJtmiczi+E+G6zLWUuSQqgFv+3zqKWjWFwpzBUkuA7Pls7gV6HXaOhl4nxEvNTVIZRIcm4GYEbN7dY2ZrP4agVA3UGO4L1Crm8eeuebVNZ/gorI43DroQkjNXKwCgeUElqkApoet7QeTORlKTcH6SFKJ003Aby7wAY5C1OumVg4Upx3GbVnsOtTFdxbigXMJSVJCWFCaEb1L6bWia4pyw0N1Z0MmfImnOEZpmUAkiraEOKEb08xDPDVB1f8YSoBIYkgXoTlPMxY7sWesUWC42Moom16Js98jEBnrmuYYygkBKhkUWEt1AguTmGYEksSWBNfaL45RdP/AGYvZ/hrISpKaU+gDQuOVQLPqX9axzGPQmQtiSpLOl0jlB0Kw5cFqdosOHz1GXlzZloCv2CrUY5qFRBpe+0I4qQ6855HfRVTdizhL9qGK8UlF0ZxsInFqz/8kxRcDkUq40DhwPUaaRkjFJbmQoEEsEkM27np8EVyXDgS238RQNLiob0EFmYgpUByJexSlJrYgXBqNa9oq+NWMn4XP/U0FNeViPqJUkP0eterxXjh8yYlwpObNRTgJNw5Kqed7xkrEqURRJFv/jS7WcEZQKEVG0S4hxMpSkspWWooEgKAo5DVB06GFjBxxDYWkxDF4MyiCZiFKc8stNxqVENVxbvWGsHMURmCgQbgpoOlb9oTE5M9KirIZr8iUjKq75SXAUBeoJFb2Ks6YtAdiUgMdq2dm1a3aLKLkql+7+6ESG+JTyg8imBuBSrEpILW/DRc/pDjngzRMKTMyKcEEtVPM1CHqHoDftHPpxaVyyhRSMwYGzG6Sf8AxcBz/UKyMFNQoBnKS7ad3sR1EU61H8MDVaPa0/q9IU6UFeZ8vMEkBntUkilq1jXDpicTiRPRLKZkuWohJ5ublSlYJZwBp+30jzXBzBkI1zOkAqDEaZnBZwHa7jeG+HYqZVpgQoXDqNd8yiSHNKNE4fUTjKpaG7v0tv13LWZyBl5QlQcFwVgvMqKlQdIPYQDht8yyGIyEEFWZJLL88rpo2nliscqahctCecEqYNUqCQtm/cQgW2FIXnZQcxCnckijBySXAZqmOmXO2qWxnVWjJvDhlaQuv/kD1ewPw9oqZyZgWxHMmr7ijEl2yw+hDMpKiAqtHfzDEX+4h2YhC2CioKGpLVZgFBhTqNj5wj9RKEqnlfyRkrKvDBCWUoJSs0oT7OTDa5KVB1KUBvQgXqIBMwEsLVmeul20BBeg184BOwqkglKswvpRn9ewHlHT2jLTAMp8JggjSi6O+rsCNdW2hGag0c84LWDH1AZurQKQkFRlsyj1NNQdraEQyuYS0sFlpcFxcDqfKDXViPIzNnpSBuAwXmAqwZw1R06QlNnlDkMojoGrs3Z6wPHYaygvvdzT9tGIgCpRSGUo2oCCfgf084aKS9Mw5QpbLFyxytR+iRr/AGYcTg5xAzAk1qfg96wtwyYoS3Aclw7gZRZkvqzmlYsP+o4gUKmAtQj+7NcmEm5aVGK7G8HKEqSfEKSlw+ZQTUZgLcrEXGnWFsLw8BP/ACAILAJYhybczglNGs/sYusNP0SpRoQkEnK5FHWDSzf+wgErCSiUiZLVulJe1CzsSTtlZ6bkDyFzzSakdDRW4/hxJSAHCRWgSQa0FOUb/YRW4VKHVmSb1Fx1HWsdfOk/9gJADWGZJZ0l1qqkl2ua62FbjOBTFKaXlCTW7VtWhdOtD5Ui3H9SmvuZkUaRlzjXLQlRD9OU9qGDcI4kSUpCUqDj6szjsQd/lYs5/CeUEzZZUKEO4emp7t5iKyZwqbLmf8cpSgOZwCNA+Um9+9LCKrk4+RNWZ5LGTOmCa+dTCrEsCNQly/R6/l7Cy3dSiOYFQBLKDtQEjKDe58oplqVIUkzJQyqNhzpJFyKsBvfyZoakTUknw5pGZ3TlFbjlKagVsd+oiM4X/wBFG8ehKpWZHIQW/wCTMpL/AEssVSGBTzdYoThloUbkpJqzAbFGhvpHQcExKkyuZKkgVZ9w9Qpy3XSsSOEBzBU8lKrkgebf929GHWB+t0biN8FXgZincsf/ANSRpR9fTziHFCsqUCvlUllBhWgre4AHkHg3/S1JUAkskXKhQkUo28ILVzZMtUsAlq9h7xbjcZO4jIpZyGsbbjaGJWLYEORmDfkHSLSZykBcvQJKVgihGYAFLDXbpWKrH4dl8qWTsDmYs5r5GOxS7bCO4fFIonIlnYksaGrh7G9aRYTpipsoFCnyqYKTRQSzMoa+Wwiikp01G4J9GgaJ5SWDpDvSElxqTwTavR0i8QpCgc3Mq5VXpa4tbpWGpeICZgmEAKZjqFg1BLu7gAO0c7h+LKTsRcPcdutLxYYXH1+rfZx/9XDp8v6iE+J0B6LdXFUqWFyxlJZ0kDs4IuGAppFtMMuampBVdQcJNm2+kN1MUspKJynSrnToGzFrmlOrdDWtB4mWsLKlPlawNv8A7Menp1ER60/tdBjLAbEyijMpKiAnQ3Ghpq9TEZfEgTlOYAGhBqNxV+WMkqyqqrMgsQ4trlc1NYmuSxJS17Okt1sKV1rFLTX3AdNDM/EIU2Z6M1AQRsXsa+zu8Akv4gADAglvqGzU73+8BWsZClQUKhWo/qoKusEwM1mSlJ6F3LnSHg6iDrZLHYWuZKXOxvTUPeu4iKpySQFUU19C/S3o47QzMWpdHqLghqjQEih6QqtCZbJW7Evmv5DaKKdrIk4taByUgqBzh3YOWtuwsHic5QSAV8xc2UxHqzQlMQVL5ASHu1d6dfzE8HgJi5mcghIP7mCiobg6df5iyrbYiRY+IlkqUAtVCApsooNnfz6d4grFueeYqXskJBA0pZhS0Q/w8hK5kwZgapCikgftIYO9uzegMSJNCZisxFRQgHYEj82hFT0MVUjGqcgt9P59f9wwOIqUkKNS4GjWFWbakbjI5JxVnSlgsJmKKTTVIUHJLGo+zekLjFrSSpRCiUl6M4DlINTY7NGRkRUI1oQ2hRkzcqS+YvWoqkK1/MTm8UW7j6VpPLVhfZtoyMgyhF02jempeGE6S7lJBSbvUqSl61/e/lFLxKUqXMIzklxUOmyQd+sbjIrwt20FfuLpMgrTmzZVJqSLlRAL3Ydd+kKycUpn2zb7B9b0jIyBSd2BbDyseqouwArXTRmaA8Rm/TNyh15gQa1TlDv/AO21G9NRkJCKUlQZaN4VBWkhRLF7aZSK1eA8VwgTLKw1crhtU2INxQkdjGRkdX07yykNCfgB1NQZ1NUuADQO+1IBOwgB11jIyLsL0Z/i5TQmo/h4XNFONRs/e8ZGQyIvbD4DiCwsEFmP5jocLji3MMwchlVs+t9PeMjInyQi9ozSQxhsQmeghUsDKMwa92agA1hDMUqUh/o13+NGoyOXjik2hWWEvEZhkUHAtZ7PqO/qYXx+KVLKCPpUWI6OwBIv6RkZAh/krwpHQXwCohIURX83ZnqHeG5aHQAWPUjY6VpGRkXksAeiGGw2UBYJ1YUoXAeveM4piVclasSTu7DL2rGRkarkiKCzUCZKmLYJUhIUTzF6WDnl94oOJyhLEsiudObZrRkZFOLCBI//2Q==</t>
  </si>
  <si>
    <t>Lagoon boat tour and Bird watching with the beautiful nature</t>
  </si>
  <si>
    <t>Lagoon Boat Tour: Cruise the calm lagoon by boat. | Birdwatching: Spot herons, kingfishers and cormorants. | Mangrove Exploring: Glide through mangrove channels.</t>
  </si>
  <si>
    <t>A highlight of our vacation. Really great ride. The owner of the boat and his help are super nice. It remains a relatively quiet, less-touristy spot.</t>
  </si>
  <si>
    <t>https://encrypted-tbn0.gstatic.com/images?q=tbn:ANd9GcSp_8VtMj2STExuo_WQwxbyfxhmThMkxR6yjHIVnWHXjA&amp;s=10</t>
  </si>
  <si>
    <t>Lahugala Kitulana Forest Reserve</t>
  </si>
  <si>
    <t>Elephant Watching: Visit the Lahugala tanks in the late afternoon when elephants gather to feed on the beru grass. | Birdwatching: Spot water birds, eagles and peacocks around the reservoirs. | Ancient Ruins: Combine with a visit to Magul Maha Viharaya and Neelagiri Stupa nearby.</t>
  </si>
  <si>
    <t>Lahugala Kitulana National Park, near Lahugala in Ampara District, is a compact dry-zone park centred on a series of ancient irrigation tanks that attract large herds of elephants, especially during the dry season when the reservoirs shrink and expose fresh grazing grass. Despite its small size, it is considered one of the best places in Sri Lanka to reliably see wild elephants at close range. The park also borders important archaeological sites such as the Lahugala Magul Maha Vihara.</t>
  </si>
  <si>
    <t>Lake round kurunagela</t>
  </si>
  <si>
    <t>Lakeside Walk: Stroll around the lake. | Rock Views: Enjoy views of the surrounding rocks. | Picnic: Relax by the water.</t>
  </si>
  <si>
    <t>A place I have frequented since childhood. And a favorite place. Indeed, it is a place where many wonderful memories of life have been collected.</t>
  </si>
  <si>
    <t>https://encrypted-tbn0.gstatic.com/images?q=tbn:ANd9GcSm71FuOzr1Ycsuj1D91BMG7fngiUjR_aQKQB-ceQ_sGQ&amp;s</t>
  </si>
  <si>
    <t>Lanka Ella - Waterfall</t>
  </si>
  <si>
    <t>Little hike ( Little more than a little ). But if you made it, the experience is gold. You gonna have to reach the other side of the mountain to visit there. Visitors are advised to take care underfoot, as conditions can be slippery.</t>
  </si>
  <si>
    <t>https://encrypted-tbn0.gstatic.com/images?q=tbn:ANd9GcQqYGtXXat6WYii61ImVCG9Z2ZFOYFf9Xs-9vUP8ID8OA&amp;s=10</t>
  </si>
  <si>
    <t>Laxapana Falls</t>
  </si>
  <si>
    <t>Waterfall Viewing: See the 126 m falls from the roadside viewpoints. | Hike to the Base: Walk down to the foot of the falls for a closer look. | Photography: Capture the falls framed by green hills.</t>
  </si>
  <si>
    <t>Laxapana Falls, in the Nuwara Eliya district's hill country, is one of Sri Lanka's tallest waterfalls, dropping roughly 126 metres through forested hillsides near the Maskeliya area. It is part of a cluster of major waterfalls in the region, including Aberdeen and Devon Falls, formed by rivers descending from the central highlands toward hydroelectric reservoirs. The falls are a scenic stop for those touring Sri Lanka's tea country.</t>
  </si>
  <si>
    <t>Laxapana waterfall</t>
  </si>
  <si>
    <t>Waterfall Viewing: See the falls from viewpoints. | Hike to the Base: Walk down for a closer look. | Photography: Capture the falls.</t>
  </si>
  <si>
    <t>Beautiful place, there is a big rock pool to swim. Cannot get too close to the falls due to the rocks. One has to climb down a long flight of stairs to get to the falls and climbing up will be tiring if your not too fit. Visitors are advised to take care underfoot, as conditions can be slippery.</t>
  </si>
  <si>
    <t>https://encrypted-tbn0.gstatic.com/images?q=tbn:ANd9GcQKUzZsqRJjLizeRW4rygyiuawocmaa8ITbInM5I4kDlg&amp;s=10</t>
  </si>
  <si>
    <t>Lighthouse - Galle</t>
  </si>
  <si>
    <t>Lighthouse Viewing: See Sri Lanka's oldest light station inside Galle Fort. | Rampart Walk: Walk the walls nearby. | Lighthouse Beach: Swim at the small beach below.</t>
  </si>
  <si>
    <t>Beautiful location in the fort. Great view of the beach. There is a lot of street shopping and street food available. It draws a steady stream of local visitors, especially on weekends.</t>
  </si>
  <si>
    <t>https://encrypted-tbn0.gstatic.com/images?q=tbn:ANd9GcQCTACjBEDBarcUAkvVDW6-rXYX4IReFr0KqZfBvZtNYg&amp;s=10</t>
  </si>
  <si>
    <t>Lighthouse - Hambantota</t>
  </si>
  <si>
    <t>Lighthouse Viewing: See the lighthouse overlooking the bay. | Coastal Views: Enjoy views of the sea and harbour. | Photography: Capture the scenery at sunset.</t>
  </si>
  <si>
    <t>You have to go to a corner in the Hambantota city for reaching here. This is a short lighthouse compared to others. There were steep metal ladders for climbing inside the lighthouse, but it seemed dangerous as those ladders hadn't been maintained well. Visitors are advised to take care underfoot, as conditions can be slippery.</t>
  </si>
  <si>
    <t>https://encrypted-tbn0.gstatic.com/images?q=tbn:ANd9GcSBQzqIfvmQkXjhAf1_ey889crgKiteXvoSNjlBtSllVw&amp;s=10</t>
  </si>
  <si>
    <t>Lionel Wendt Art Centre</t>
  </si>
  <si>
    <t>Art Exhibitions: Browse rotating exhibitions of Sri Lankan painting and photography. | Theatre &amp; Performances: Catch a play, concert or dance show in the intimate theatre. | Cultural Events: Attend workshops, book launches and art fairs held at the centre.</t>
  </si>
  <si>
    <t>The Lionel Wendt Art Centre in Colombo is Sri Lanka's foremost venue for the arts, named after the pioneering photographer, musician, and cultural figure Lionel Wendt. Opened in 1953, it houses an auditorium and gallery space that regularly hosts theatre productions, dance performances, art exhibitions, film screenings, and concerts. It remains a central hub for Colombo's contemporary arts and culture scene.</t>
  </si>
  <si>
    <t>Little Adam's Peak</t>
  </si>
  <si>
    <t>Easy Hike: Walk an easy trail through tea estates to the summit. | Summit Views: Enjoy panoramic views of Ella Gap and Ella Rock. | Zipline: Try the Flying Ravana zipline nearby. | Sunrise Viewing: Go early for a stunning sunrise.</t>
  </si>
  <si>
    <t>Little Adam's Peak, near Ella, is a relatively easy hike offering sweeping panoramic views over the Ella Gap, tea plantations, and surrounding hill country, making it one of the most popular short trekking routes in the area. The walk to the summit typically takes under an hour along a well-marked path, making it accessible even for casual walkers. Sunrise and sunset are especially popular times to make the climb for the views.</t>
  </si>
  <si>
    <t>Lover's leap waterfall</t>
  </si>
  <si>
    <t>Tea Estate Hike: Walk through tea plantations to the falls. | Waterfall Viewing: See the falls and hear the legend of the young lovers. | Town Views: Enjoy views over Nuwara Eliya.</t>
  </si>
  <si>
    <t>You have to go through a narrow road. There is no specific place called a parking lot. There is room for 2 vehicles to park at the foot of the waterfall. Visitors are advised to take care underfoot, as conditions can be slippery.</t>
  </si>
  <si>
    <t>https://encrypted-tbn0.gstatic.com/images?q=tbn:ANd9GcQ2H1s_JgPFS_---5Pvu8KIzg_EiKkevvpQWqkgSplwrw&amp;s=10</t>
  </si>
  <si>
    <t>Lucky land spice garden</t>
  </si>
  <si>
    <t>Spice Garden Tour: See cinnamon, cardamom, pepper and other spices growing. | Herbal Demonstrations: Learn about Ayurvedic uses of spices. | Spice Shopping: Buy fresh spices and oils.</t>
  </si>
  <si>
    <t>This place is a con. After an interesting, but a too sales pitchy, your of the garden they give you a massage with one of their products. While I was taken to a separate area and given a female masseuse, the guy who did the tour walked in.</t>
  </si>
  <si>
    <t>https://encrypted-tbn0.gstatic.com/images?q=tbn:ANd9GcRQsPvsa_8Xyv87HDTaeJNMTjQWCy7hhgVl9BWE_dslCA&amp;s=10</t>
  </si>
  <si>
    <t>Madanagiri Ella</t>
  </si>
  <si>
    <t>Mohini Ella- Mohini Water Fall. Kadutugas dola. Dhiyabibila , Wewelwatta, Ratnapura. Visitors are advised to take care underfoot, as conditions can be slippery.</t>
  </si>
  <si>
    <t>https://encrypted-tbn0.gstatic.com/images?q=tbn:ANd9GcTlXW5qnHPR1zzHfbCwoBXCvR5YvR6CmtB7e9yRVTKWoA&amp;s=10</t>
  </si>
  <si>
    <t>Madiha Beach</t>
  </si>
  <si>
    <t>Surfing: Surf the reef breaks. | Snorkeling: Explore the shallow reef. | Beach Relaxing: Relax on the quiet beach.</t>
  </si>
  <si>
    <t>Just about 2Km away from Matara town and about 500m away from polhena beach. Good place to spend an evening or take a sea bath. Tides are low due to a coral barear and the water is not deep up to the coral reef. It's a popular local spot for a refreshing bath or swim.</t>
  </si>
  <si>
    <t>https://encrypted-tbn0.gstatic.com/images?q=tbn:ANd9GcS-_g0w_JfVS9SXoJinSTC7ZcrfLXWTvNEuSqguSFZvXw&amp;s=10</t>
  </si>
  <si>
    <t>Madunagala Hot Water Spring</t>
  </si>
  <si>
    <t>Hot Spring Bathing: Bathe in the naturally warm spring water. | Rock Temple Visit: Visit the nearby Madunagala rock temple. | Relaxing: Relax in the peaceful rural surroundings.</t>
  </si>
  <si>
    <t>A wonder it is. Don't go there when the sun is at its peak. It's painful to have a bath with scorching sun. It's a popular local spot for a refreshing bath or swim.</t>
  </si>
  <si>
    <t>https://encrypted-tbn0.gstatic.com/images?q=tbn:ANd9GcQ3DpH_KFPg3K53xYCChENx37-NWL4Wq8tUOafwAV0MOQ&amp;s=10</t>
  </si>
  <si>
    <t>Maduru Oya National Wildlife Park</t>
  </si>
  <si>
    <t>Jeep Safari: Search the forest and grasslands for elephants, deer and the occasional leopard. | Dambana Veddah Village Visit: Meet the indigenous Veddah community and learn about their traditions. | Reservoir Views: Enjoy views over the Maduru Oya reservoir and see water birds.</t>
  </si>
  <si>
    <t>Maduru Oya National Park, spanning parts of Ampara, Polonnaruwa, and Batticaloa districts, was established primarily to protect wildlife displaced by the Mahaweli irrigation development scheme and centres on the Maduru Oya reservoir. It supports one of Sri Lanka's larger elephant populations along with sambar deer, sloth bears, and numerous water birds. The park also contains ancient ruins, reflecting the long human history of the surrounding dry-zone landscape.</t>
  </si>
  <si>
    <t>Maduru Oya Reservoir</t>
  </si>
  <si>
    <t>Reservoir Viewing: Enjoy the vast reservoir set against forested hills. | Ancient Sluice Gate: See the ancient sluice discovered during the dam's construction. | Sunset &amp; Picnic: Relax by the water at sunset.</t>
  </si>
  <si>
    <t>The Maduru Oya Reservoir, at the heart of Maduru Oya National Park, was built as part of the Mahaweli irrigation development scheme and today supports both agriculture in the surrounding dry zone and the wildlife of the national park that grew up around it. Its shores and waters attract elephants and numerous bird species. The reservoir remains one of the larger engineering works of Sri Lanka's Mahaweli programme.</t>
  </si>
  <si>
    <t>Maduwanwela Walawwa</t>
  </si>
  <si>
    <t>Mansion Tour: Walk through the historic manor house with its many rooms, courtyards and verandahs. | Antique Viewing: See old furniture, weapons and heirlooms from the Maduwanwela family. | History Learning: Hear stories of the powerful local chieftain who once lived here.</t>
  </si>
  <si>
    <t>Maduwanwela Walawwa is a grand 19th-century ancestral manor house in Ratnapura District, once the residence of a powerful feudal chieftain (Rate Mahatmaya) and reputed to be one of the largest such manors ever built in Sri Lanka, with dozens of rooms. Though now partly in ruins, its scale and traditional Kandyan-era architecture offer a glimpse into the lifestyle of Sri Lanka's colonial-period aristocracy. It remains a notable, if lesser-visited, heritage site in the southern hill country.</t>
  </si>
  <si>
    <t>Magampura Ruhunu Heritage Museum</t>
  </si>
  <si>
    <t>Museum Tour: See exhibits on the ancient Ruhuna kingdom. | History Learning: Learn about southern Sri Lanka's heritage. | Photography: Capture the displays.</t>
  </si>
  <si>
    <t>1.The present structure is Former Administrative block which was used by Leonard Wolf who functioned as Dep Government agent.(1880-1969) 2 His residence, Law court are in the same premises, How ever only the administrative building (Museum) is open for public. 3 Entrance fee is 100/- Rs and Museum is well maintained. 4 Publication stall is available for those who are interested in books. The spot is also known for its scenic views.</t>
  </si>
  <si>
    <t>https://encrypted-tbn0.gstatic.com/images?q=tbn:ANd9GcSi88lf2Tzj_X-QqIb-tdnIk3ykV03GB8LnA7xTlqaxHw&amp;s=10</t>
  </si>
  <si>
    <t>Mahamodara Beach Park &amp; Marine Walk</t>
  </si>
  <si>
    <t>Marine Walk: Walk along the seaside walkway. | Beach Relaxing: Relax on the beach. | Sunset Viewing: Watch the sunset over the sea.</t>
  </si>
  <si>
    <t>It's not the ideal place to hang out at mid day. Very sunny and not many places where you can sit and chill. Not as windy as much. It draws a steady stream of local visitors, especially on weekends.</t>
  </si>
  <si>
    <t>https://encrypted-tbn0.gstatic.com/images?q=tbn:ANd9GcTH5mFu_vxi7uAgnA8SjtxqWgBW4O0vDfgSRppJkKSMqA&amp;s</t>
  </si>
  <si>
    <t>Mapalana Ella Falls</t>
  </si>
  <si>
    <t>I think this the highest waterfall in the rathnapura. It is so natural than Bopath waterfall and others because of it is situated at sri padha area. It is little bit harder to reach for destination .</t>
  </si>
  <si>
    <t>https://encrypted-tbn0.gstatic.com/images?q=tbn:ANd9GcRckkEAIwodYS3-FhqieHMktHOyiJ33OkWnSD3d361ZBQ&amp;s=10</t>
  </si>
  <si>
    <t>Marakkala Ella</t>
  </si>
  <si>
    <t>The 8 meter high Marakkala falls originates from the Heltikande hill and flows through the Ringama Pola stream which flows through the Narangoda and Bulethwatta mountains. On its way, the stream irrigates the agricultural land of Narangoda. Reaching it typically involves a short hike or a climb up steps.</t>
  </si>
  <si>
    <t>data:image/jpeg;base64,/9j/4AAQSkZJRgABAQAAAQABAAD/2wCEAA0JCgsKCA0LCgsODg0PEyAVExISEyccHhcgLikxMC4pLSwzOko+MzZGNywtQFdBRkxOUlNSMj5aYVpQYEpRUk8BDg4OExETJhUVJk81LTVPT09PT09PT09PT09PT09PT09PT09PT09PT09PT09PT09PT09PT09PT09PT09PT09PT//AABEIAIoA9gMBIgACEQEDEQH/xAAbAAACAwEBAQAAAAAAAAAAAAADBAIFBgEAB//EAEAQAAIBAwIEBAMGBQEGBwEAAAECAwAEERIhBRMxQSJRYXGBkaEUMkLB0fAGFSNSsWIkM4KSouE1Q1NjcrLxNP/EABgBAQEBAQEAAAAAAAAAAAAAAAABAgME/8QAHxEBAQEBAQEAAwADAAAAAAAAAAERAhIhMUFREyJh/9oADAMBAAIRAxEAPwDH3+h59VujLER4c96S8YJARlx17Zq+urQPCCsnM5WFJYdDjfp7UqLbWN1OoenWuc6a86rILhIydadAcZ3on2sTM5VMf21apbR4A5QxnDZxXGtYVGREoB6jA2p6jXiqf7fJpIOkEjG1BlmeUNzH1EjcnrVq1vDueSu3+movFDjwxBVOfwitbGbKrnLiVtL4Ge1CYyepqwMOokhAe/QdPOgvErHpj2NVnCeH7g1zS1MG3XOxYfGhujDz+dXRALjqa9jyr2exBrwx7VUeUeNTjYGuHaiDpsRjyIruk9tPyoBaz5GiR5PUfMVIKc/dHwNOrZOzhsZHvipauaTX7y5B6/OnVbrhRpzg+37xU1tJwcGIkemDRFgm1AcpgR5isW6vlxbhogDGhwDhlznGT9RT8SSbDKFSQcIfy60CC2nZzpQZ76ulWVvHNEuCgBOenesXG5xr0VvPcMiFFMY3DFMfTP5mn/5fGWXeIgb6SKAt49lEysCzE5OACBQxxKaZQzRxnOwGP3isZXTicz8rUJFkLykAA7KMURFtCSQE1dwFwTSMcxkUkruADhWGd6kt2kb4kV09xRv4sIooS786zjMZ7kb/AL+dL3HCrUyhgoBBzjcZPvURxCwZMPK5Y9cbUeDikcY5WSVOcahqAHw3plT/AFpU2MR/3kCY7kkkn4EV1OH2ojOLmTQDsuyhfh5US7vNbcwpbygbkmTLdP8AFK/bUlJ/2cIV6aHI2rUifE9FukgfbrgCPG/1rjzqpYmaWOPGNLIQM423BoIkeeTSkKtt1dtO/lnzr0isAUnQDH4T4h86YaXS1SUl2vEYHp4Tn616gvHaq+FXSx3OmQ/rXquOfmPXsQM7SSaQW0/c31HGTkD3o626FFAJkyM5DbfOrWPh40sSTjPc7V02Uayo0kpUA5K4wa5enXx9VSWEEsgiTUHA++MnSfzok3Ao1XK3I1dCoB+VXIki5hS3x/y/nXZUkA1NnJ32FNrWRmf5FgE684G+S3y61H+Qkqx5qgdclyQKvnjdxjBqUdrcKNTZVfI1rb/WPM38MoeCXYJIdMY/EcZoD8Ku1BymfLBzmtbdEr2jzVbcSMTjovfat83qsdc8xmzw28wTyu+/iH60F7eVCdZUfGru4eWRiEjJHn50bgPCpr3iSK1s0iDxaSMj411muVz9MsIJZZAsaGRj0C7k1DQwYqyMGBwQRgg19Kvv4TEMLS29msbAgg5ICgDJPWq+w4e5vlIKq8mxZ11ZzVTGExjqD8qJymIyM4IyM96+jPwuJOJLPfcPRwgOvSu2e235U1xa7WdHtzBGIlGIiIx4T5UPL5eqski6UZmB2HWrGya5lYtrVMn7oGfmKuvs+pRleW2MqBtmq68tvsk5aHWUO/QAg981mtSYuLUYXJIP+rFPQo3MJbxL2GKz1tfIDhmYKe2mrO3uCVLKz79CDXHrmu/PcXPIj06yq+hB/wA0s0uVMcnLK9CCetJm4mkUhJGVu5PcUFrYSaeYu/8AepY1nz/W73/Db2tuw3jMfkVbFeCW2QGRmx+IjP1FKSWruApu548DOEXfHrnNLm0TUB/MbkZ6McD8q3OXP1/xbuLcqCgBY4OGyAcbV3+YKhAaNWBONx19sneqJrLScpxW4Ut21ZP0oZt3J/8AFZHP/uKdqvg95+mnS8s2GWtliP8Ac8QxTcS27OssKRE4xrjbG3wP+ayEctxEFjSS3n32USHUfpUH4hyGWRo2Rwckqc7fD9KuU9cts8TaFaOKNh5DTn61FgXAaezycY1qfyFZSPjizbRynUe7ZwKYHEpAmpri3ZSPvYqefulyr14bMagAyHGSGXUBVTcCx1CKO7USsurS5wG8uvTPlSN1xO4uFkhijwsmwzvtjzo3D7CA5lfQJG7Fdvr7U+/tm/b8Qe0uI3JlVZQfulWyCPTevU9Jw7mSAyRKNK4BTC7e1epq5Whj5EYVCwyfuL3J86nmPV/ug2N84xQnYAhiu4HUjOKhzCoBLq3/ABYrzyPRakAqMzKg1P8AiHX51yabVjXnI3GGNDLqGOWXfzroAlcBcHFL9TYUublFRiz79tsVUtJKwxK2ckkgmr2VQpdcbqu4O+9V1lYrOj3MwwjLsdW2a6c988/lz6nVuKyWPUc6mx6GhL10k5z57UxxIx20vKjALHckHp8aSE6PgYOV9K7zuWbHG8mDMVACoo32NbD+GI5razlkdCPETrB2PbFY20RLm5WNEDjO/avoHDolt7VVB8GMY3JPfP78q6RhZLKWgjDknIJ65OD0+lRSJFCyGMbb504P0rw/pLnXqOc5b1oOuaaQSaBspGM7Z/YqqndQCdmjIYLIDuNiMjFILw23JWaSNkuCviwep9asIS7QxlgNWMYriRymfUPErb+xqYKe6/h+CZjObhlzjIVe9EH8P21zCUkRC/TVp3PvV2pKsfCM9SCKGQGfmAgMcZHXBpgwfGP4Mu7FHurOWGSNd+X+LHyqigFyHAeNtvIV9i+z8wDxjGO+9Zb+IuCNDGbm0Ogjd+WBn3ApiMrHzcamJ22GaaQg4JU5PfJrtolvLbs80kryZOC6gafhXDqU7BTjf735VzvLc6pgAH72PfejoAARzADjoTQLaUs+h4AR5gg4ptkIUEqPiBXOyuk6JiKa7dhArQouzYGCT74NGHDCh1a7knqTzWNGOoDSoI9QQBQS0oUuwYADcjcf5rWon9mZCS0z4PTIpe6t7ab77KMd8Zz6UGS5jeQjXKFzlhqLL6bmupAdWc+EH72vGPQ+VUVs/ALNjqVUwdwyEiuLwYd+YRjfJ1fPpVzCrmUD7WNJO6xyBse4ok8cqOG52CuyeHOT64/7U08z9B23DrGGBHfSTnARGGafSyikZiHdcbAO2/50rb8NkMxMzZfGoFVAB9v19alcc21lDK8rFhndc7+4qeVg8tihYl3jJGAda5r1AYXsqLJNIg1bgE/9q9UxV39mKHx6cUvcQH73KYqemMmhRzXraWle2RT20EnPoc4qS82QMxlbQhzkYAG/tXDXS1HkhUPhx9KQLB2OrSSeunc496X4txBi3Lh1TKDg+pP5VBykSqJpLeMqAWGcfv41qcud6GlDQhORKTLcHSqscgDz9KJf3HKshbo6ZAC6V7gVTvfWTyKPtGTtpZN8CpCcOykys46eImt/49qe8J3yufFoIApa2TUx3OfKr9kgIAJOWB2H+KQkgt1l08uZX8ge1b8Z+GZ19PcCswJ1k3HUnrmtdaPzYG1ZDYwd/kR++9U3DYV+zMoyox4XVsbep+NWxjhURQvkY2XUcZx32rpNTrP0fZVELE46ZYjsc5zmhQMcFiT199/apgaYmDsADvpO5oUSlmXSWx9052rbByNihyMdRXC8YYEIVPXHnQ4wWBCZbUdsHNGZMSeNunTagiZRrJJGT2zRATG2WABoO8gIBBwc70UW0jJrCjV0ANEOQgOM79Nt6hdWqXEBR+9BhmcS6WznpnqKIkyu+BkEkjPtRGOvuGvZXcjRZUswYFjhcA9/zoJjN0rmSBFKtgkZJx57Zx8a1nFrUXFs4LbhTtnY1k8yW8TpJEZ9fh8RGV9vhUvxqK+WxkUBoJHaNuhB2rggnEeDOT06MaNyl4fcZkkYIUDI2jVjrkHHltUZeJQBC0V0pc/hbufhWc1dxAxTR/ib4sRSk1uzShmLICdyDjerA8TjdNM0auvcZx8q8t1C7hY43UbbZBC1ysxufUJ4reKBRDOcnr1x71CWQxPoVnMZ3Gk5q0ilYqyzYMR2G2wHpQLmDh4gji0qsg6lyQW9dquqqM23M8aS565GPnTsVxpgHLLHC4KyzAA+oz0+VGWwg+0aViVl/wBJJNNLyLVgGBjbtqFS1ZBLWe4BifljSq6dSOGouuOVhlS+s7+MbUJuIwQxHTGJW9wopC04lEt1K/LcF3zgvrA9qnprMO33LVExCzrnvI23sK9SRkieVnZo2c9NYxhewr1Z1RDfcUAPOsLUBd1MkxJ2/wCHHek7vjN/Imh4rEK2wDMTpPptv8qsZl1gcxtY7evrSP2NDOksiI2TiMEfEt7DpWvPMc7aHb/bZoSHeCIIfwrqz67npUIbd/6wgSxWUZ8SR5LDz36e1OSz8uD+mximUgnbORS9xNClss0kcpm6oxiJOQfQVcQtb3XLRHERLlTrJ2BPnio3k6AhiqqTvlFAoX2s6eWsTAkFcOhGfp1qD3UoUoyLuMdcflWpEtNRXKIFkUySMNtA6Ae9TiaS+/oxRhRk6QQTn39fhVCcvONcvJBfz6b71dcKuLyIamn1Rxk6XX+7rkY9AfnW5GLWu4XAk1u6AMksKiMl12bHXHn1AzTMrwPdiHlur6cg52A9+tV38Mid4ftF1OZRpcGQ9ckg9P8AhzVtw62DXrSuFIRSqjB6bdfM1tFjGsZixEAwPTPkR3qJjIPgjx7DaitKgidkUeAeLA74qCOTCAxJ1be5FBI27hlYFUXGD0GKkkY1BW8ZIwWYYFeXDRBW3VhkVGIszMWB77ZoDKqKvLDADPQUKUSNG4jfS3ZiPunp+dSfDLkjGg7gGlTIvjAONvP4UEHflujM+dAy2DuT+xUml0zBw/8ATYEnI8+lAbaTSQGA6ads0adWaNcBkCgdMH4UROKVpS8b5CkEZx+dZn+IY3tyJVkbAXrpHXzx8K1NnFleadQDbkHrmkv4htBLZSOSRtsMd6D5yb28mlIjuI+VjfVlc7/Wq4id5Wk1jI21LnDVfG3iEHK1qjhiX8H3vQbfU0KHhjSTEq6oMnwAnw1BTRXDRyeNdDE9AMD39atILnG5ds/6cVG8hjhcwy+IE798fA0BuH264MMjj0DGudjc+LhOL8iPaIv2ycD/APahHxQJcIzQFznoO9UkkhtsF21oPxUa3vInkEjHwjfPSud5xudNCeMsuRHBpwMZzmljcQyLJLOpLnYEeKqz7RHI5zojUnOS+9ea7sIydc6t6LnP6VnzV9HFlidMae/mBXGIDGRImGnw4XBBpQXVi7EifGOzbVP+YcMiTBnIKtkHVsfTzNXKepVsY15Cc26VQdwGUEDPua9Wfk4zbs5dOhPTHSvVfNPUXsLGJGDhXY9G32qVzctIF8XLIQrlBpIoanQ45ihtRwo6UZpeWoIgRgT2XNa1kgVAl1jRtjufP3qE5dwGM2vB6HtTuLaWXGhwp7dCKhPa6PEmornHnWk+q8cwqQ7htQ7io8lSqq7Bio64pmWJY2A1BiTvjtQieuR0OKM7SRsFaXWzkb9BV7w+ThkUem4spBtpLrId89dsbVXOqhQQ++NxiuBkBGG38qSsa2PDOIcKtLNLZIpWCsWyzDOT+VWkHGuFITp1gknOc1gY3LdCXHQ79Kct9ek+IDb8QrXpdbmPi3B9BVXwpOT4T1ow4nw9j2A8ztWJiZFUZKtjoRmus6MB5nvoxirqNqeJcLCkc6MjyDZqA4rw3OrUNPZmbGfhWM5eAFEj5PYRHeuMBs2ZRjrpiP5mmmtvHxjh/QOq5HfavfzHhbNkvFv1JIrDNLnBRJNtjrGP8GpqVHRDqG+CcY+lTTW4a+scgx6HPTw4NLz8bs0YpJCxAO+RWSTVIcKCueh6/pUmjkCnMjKCPDg00ateP8PBGAyg99JqT8f4VKukyq+e2nNY8BdkZ+Z31eX796Vk5aSAPzQx/EDsP0po0V9DwO4Y6o2DH8IkIJ+mKqJuHWAcC3S5Qp35wYGk1SFpsK7uPMkfrXTBB4jzn88rHnFNALvhySTh3kn1DYDOc/WoyWkjacooI8wMn60c3Ea6QtxI/Y7EUywLAa50XbODnfepqqafhSzNocyDPYbCgHgUQGQHA9+hrROq8k8sxs2PvB/p0oHLllGVjDY31Z6/Xapoo24JCSPzemLWya1BMKrgjugbHrVvDbXEqNr1aFAJUjV8t6DcQTJKVdDtscDrTapa5E08HJmSDSPKJR/gUlDYpASYkjBP+kVaAZj0aXycbkVwCLHikIHbFTaqvW3CEjlW5zvh0B/KvVYFY2HikHnuDXqap+yAummlRdBHhVgPrTCJLFEsTkEAbZ2x+tYK3vrlDhJHVQPOpPxe8MhZ7qQnuB0rXk9tq0ELtluWVJ3U4Jz+lBaztFfKaUcdCpI99ulZq34pKV8Mz4PbOc12XiNyy+Gd9H9uQKSHppZGCx/1JlYdMuFwPlVNJIE1Zw4J+9Hg4qoe5kAwHb2JzihrNMGDoxz/AG9quM2rbXGwDiZcNsOxzU5lTBMYfbc7k4qjeZXuFYofD3XYk+1W9veRzqRqGRgb9/3imRDUEseAdK4A2KzBT8c04vIaPUeWHAzgsG7Y9aVhRItTuTpz1UFjnt2xTX2Y3QVlXXgZ7YPzpiCQySxjC7RsMgnSV/xsaLy7nOpnKg9Cz6c+3XNKrwy5K6BHGM7jcD/6mmG4XdGFR9qmyn4FcsPX0FXB1ri6EYUmYqc7Lowf37VBriVCCkUkb9ABIuc/DegycMnWxLpJ/TViSAdeT5ZANO2FqNQkSK+dSc6VgAAPoSuagEJZhhpjKVYEErvn0yaE0sYl1IZuWOiOAR8u3zo8lpfT3Bls5b1FQnULhQAPQEAg102N00SGSO41g7uwbBx5+D1NBL/ZhbmZTuBuoUAj86WtrxFcuyEjuGXArgtAmXEjmTG39JyB8SBS8dtLJIBcvDAuCQSNz8KKbmvRIXEduI9+v3vlk0q9ywAAkfbPkPnQmJt0ZEjV1O51IBn4UEJcE5RCgPYJiouDxySE6xnPbUoNFjkcuQQXztuox7ZoLW86prHMY+mRv8qAX4rCmDyyr9QOtDF0sFqIzznCNjcfdP51zFl4hzpjjqA2T8u9Za4m4iwJMUwj7kRac+xxRbG+4rFG32OcxhjuOSGYfEirhrTPFaiPmPNNHGeqvuTUFhsplI+1PERuNcAGR+dU0DXU9zzZNUso31CPfPqB1q2TjE2tVv8Ah6sT4dTKRt7UxUooYblkW0uFl1A5IXTv7bU8tgxbSWZiVzrEjAk0M8at4X0mONE80Uk/Kp3nGreC1knimgAOPAUYs+3bH60w+J29mGg1LJq09VmDH6EUnPBGjqkaFhnBC7AenQVSycXundHtkeJht4SQCSepz7dKFLe3BuybxZSkvVn237beVSwXMtqI5GUSxYzkDmDYV2q3Az0Pzr1ZRnJjCI1XmgHuR3pdhGdlcgeQNE+xBAQ2nPpXuSA4YaNtthXTUwJAVfMTb+dNCZHA1SqhHwzUo0k04ATHnpoiW5AG4yDnYkYNNMIPcMHzGrEDbcV6N5nbGy6u/XFNC0CnKjb2qekA4IGaaPQ4ic6naQDHYDIz0z2rsMaKBy0CHXqzqJJ8upx9K6AdQycD0o2dK/7xiPLAqauG7VlmMcUl5GhHZ1LAe9XiWl3Z3K4ms11AEMsTeIf8xFUctxa8oM0UDArhgfDg+eB+Ro/DeLWcEBgMFzr3CmCfC49AzYqjQpdXqTosYLRkHEiPCB8sHFFuTczKFmgR0x4iFd3PsVwuarIuJi3jNxb2t6qE7yyJE4+eoGpp/EVhOeVdQXE+r8URUL8fHQNW9pFkySC7jXtzJSqj5/rRWlgslIjuUuJF6IjfdHqBqPxOKrWNikTPb25hz2lt2kJ+IkAqMdzNLDoZHWJfuiOwIHuWJPzoLG5urq9gxmJ4zvy1Run/AEn61Wve2yMsRF3AxBwqsd/YeXrUuYHjKHMsikaUa4K4+ASqOZZk4lIbsHWAGyCWDDfue1A6dU02Ga4aM/3Td+2T0oS2MUoKR+DJySxqUX+1DVBzHOnOkr86Hz5BI2tDGw7NkD2ohiCwJX7r5HkpFMw2oaMly2cZx3I+dKxcRMmA7DCnOBkg05PxVCrH7PpZsY5YPXzxVxdDWBpJuWksmT+Fd/lS13wviKy6xLJGM4VgcZPsasrOXWvit8+ucFqO8ruR9nKuo/tYPg+vrV8pqoT+HrmSTXe3skrYzpVsfDbpT0fAraMvGl34SM+OXBU+WO9Oyuqw6ptRYbgPJgkUrb3KyK/KC6j94k8zT5AA9KYPNwkLYrJFIokz95wXBGOxHSlhwPSQVu3y+2o7gH2og58epkkuVfOdMbAD5HpVfLxm4inIntgxOwOnxZ6daBu74VLbrzRONI21BgyufyqnMFtHLzJUKewJHv5Vbr/EEcVu+qLmTsMMHc4O3lVXDxhbVm5luCjjPhGQvwqVSl9NcIEeOYMrZI076P3iow8TuVlSJ2c4wWOvOr5ilZ7kS3PNSIL4s4Wg3UpEIUBNLddO5GM9ahrS2N1YywAXQmE4J1KrrjGfb1r1ZMTyBECMUwDuOpr1ZxNXWTImedGj6sBX2GN9/pXgjBl/r2oJ6DX1PlnFNBQQ+QNhQrsBY9SjBB2IqStOAFTkyQKcZ8TYHw/743FcbWrMnOgPfUX7b+n7zUY9ht2ArrKBIAAANtqoj4yT/UjIBxlSSD7bV3cDYk/OufhHuaBqO+5oCt1wZCKmtuzR6lcMScacYJ+NCUnlg5rjgAKQMHfegsooi0yiZSsijwswKkexB3o6Wk7XGp4rXR2Ezsur5DNUk0jlzl22HnT1mTJHcK51AEHB3oL6QvYIrLbxqrDdrW61D/qwaWe6M7LGltPOo3AW6Ix+/SmOBxR/+mvn0qHErm4EExE8oKuceM7VpKE0SoMjh/2Rid2F7IWPwXeiJIqxll4hLFJ3L3M2fgHA/wA0jJc3EtjqlnlcgbFnJxVOjs8ZLsWPmTmpaRqYrm/MhYzXVzIw2ZZw3yUuMfCkeILeS+K6gv8AVjw82QMAPYsTQf4eijl4lDHJGjozDUrDIPuK1nEuGcPRGKWFqpHlCo/Kpq4xlvNd2k50LKp/+Ix/mnGvhMP68Opv7jGD9cVPisMUUsixRIgGNlUDtVQ+zLjarKi/sbqyXd7aHPlpA+nSnbi6sjAUECgsOgxnHpWdmRDaaiqkg7HFHtf/AOf4ZrURo4TbSqOVHGWH3nlGrI9j0qUEQa3lMCxqxfHLTwFvUnFV9ns2BsPDTWSEYgnOa1BxLSRmLvAE82aTJ+dR0yLFiG5EahiMjSGPsetHuScMc9qViJ5ajOxZv80oq+IXF0ZRGJeYRgauYWAz3GcfsihCWRoP6MXhwMlcljv1yR6VDim3EJMbYxj6V68VVkcKoAz0ArIGupS+iyK+H/zN/jSbi8uI1eNIApOOWuckjt09+/aoISGbf8P60F9pQB5VKJzW97yhFy9YbrpUDH73pUcOu1YaIWIPUHtntRS7tpDMxGe5oF07hQQzA+hqKHJGGfwpgDbFeosf3F9q9VR//9k=</t>
  </si>
  <si>
    <t>Maraluwawa raja maha viharaya</t>
  </si>
  <si>
    <t>Temple Worship: Offer flowers and light oil lamps at the shrine. | Heritage Viewing: Admire the Buddha statues, stupa and temple paintings. | Peaceful Retreat: Enjoy a quiet moment of reflection in the calm temple grounds.</t>
  </si>
  <si>
    <t>A serene place where one can be at complete peace in mind. A temple by its true sense of the word. I visited the place in an early morning even before the sunrise. It remains a relatively quiet, less-touristy spot.</t>
  </si>
  <si>
    <t>https://encrypted-tbn0.gstatic.com/images?q=tbn:ANd9GcQEYFJy4xmSw7UM3Aw9YCf4O6O5mPWi7-EvemS_mkrZjQ&amp;s=10</t>
  </si>
  <si>
    <t>Maritime Museum</t>
  </si>
  <si>
    <t>Museum Tour: See exhibits on marine life, fishing and maritime history. | Dutch Warehouse: Admire the old Dutch building inside Galle Fort. | History Learning: Learn about Galle's history as a trading port.</t>
  </si>
  <si>
    <t>This museum is situated in an ancient building built by Dutch and used as a warehouse. The exhibits in the museum are related to maritime archaeology. The posters displayed there give basic information to understand the maritime archaeology and about items displayed there.</t>
  </si>
  <si>
    <t>https://encrypted-tbn0.gstatic.com/images?q=tbn:ANd9GcQaXUNyt8g3rvqIbFIUObf4p8q8reR9p-BN-A4_1tO1HQ&amp;s=10</t>
  </si>
  <si>
    <t>Maruthamunai beach</t>
  </si>
  <si>
    <t>Kalmunai</t>
  </si>
  <si>
    <t>Beach Walk: Walk the long east-coast beach. | Fishing Village Life: Watch fishermen haul in their nets. | Sunrise Viewing: Watch the sunrise over the sea.</t>
  </si>
  <si>
    <t>Maruthamunai Is a Beautiful Village In Ampara District, Srilanka. One of the best places to visit in Maruthamunai is Beach. Nothing can be better than spending a day at the beach.</t>
  </si>
  <si>
    <t>https://encrypted-tbn0.gstatic.com/images?q=tbn:ANd9GcRr5_niQelrYtPoJSNpl-X_QVXNXLKaaip49pmqxk-oUg&amp;s=10</t>
  </si>
  <si>
    <t>Matale town -  view point</t>
  </si>
  <si>
    <t>Viewpoint: Enjoy panoramic views over Matale town and the hills. | Photography: Capture the scenery. | Sunset Viewing: Watch the sunset.</t>
  </si>
  <si>
    <t>At the top of mountain there is a Hindu Temple. It's a one of the most sacred places in Sri Lanka. Once you get into the top of the mountain you can have a most iconic view of the. The spot is also known for its scenic views.</t>
  </si>
  <si>
    <t>https://encrypted-tbn0.gstatic.com/images?q=tbn:ANd9GcTmJeoNp2GruETr1TVwLHmEG4vz09ikFk9w9BCPDC1BFg&amp;s=10</t>
  </si>
  <si>
    <t>Matara Beach Park</t>
  </si>
  <si>
    <t>Beach Relaxing: Relax on the calm beach. | Swimming: Swim in the sheltered water. | Picnic: Enjoy snacks in the park.</t>
  </si>
  <si>
    <t>The Matara Beach is popular with locals and tourists. Its s long sandy beach that catches a nice swell cominf from the south so under the right conditions can be good for surfers. To avoid the crowds of the city many head west about one km to Polhena or east a few km to Medawatta. It draws a steady stream of local visitors, especially on weekends.</t>
  </si>
  <si>
    <t>data:image/jpeg;base64,/9j/4AAQSkZJRgABAQAAAQABAAD/2wCEAAkGBxMSEhUSEhMWFRUXFxUVFxcXFxUYFRcVFRYXGBUVFxUYHSggGBolHRUVITEhJSkrLi4uFyAzODMtNygtLisBCgoKDg0OGhAQGjIlHyUvLS0tLS4tLS0tLS0tLS0tLS0vLS0tLS0tLS0tLS0tLS0tLS0tLSstLS0tLS4tLS0tLf/AABEIAOEA4QMBIgACEQEDEQH/xAAbAAACAwEBAQAAAAAAAAAAAAACAwAEBQEGB//EAEQQAAIBAgQDBQYEAwMLBQAAAAECEQADBBIhMQVBURMiYXGBBjJCkaHwUrHB0RTh8SMzkgcVFkNTYnKCk9Lic6KjsuP/xAAaAQADAQEBAQAAAAAAAAAAAAAAAQIDBAUG/8QALBEAAgIBAwMDAwMFAAAAAAAAAAECEQMSITEEE0FRYZEUMoEiUuEFI0Kh8P/aAAwDAQACEQMRAD8A+dgUYFdAogK+xPBOAUQFEFowtMTYIWiC0QWjC1SQgAtGFogtGFqkAGWiC0YWjC0xWLy10LTAtEFphYrLXQtNyV0LQFictTLT8tTLQKxGWuFafkrmSgdiCtcK08rXClAWVytCVp5WhK0hiCtCVp5WhK0mMrlaArVgrQFaloBBWgIp5WhK1IxEVKZFSgAgtGFrqrTAtBNghaMLRBaMLVUIALRhaMLRhKoAAtGFowtGEpisWEowlNCUQSixWKCUQWnBKIJSsVicldyU8JUyUWFiMlTJVjJUyUWFlfJXMlWclcKUWFlbJQlKtFKErRY7KpSgK1aKUJSix2VSlAUq2UoVtEmBvQOymy0BWtW7w24BJWqT2yKm0x2UytAy1aK0plpMYjLUpuWpQFnQtGFogtMC0EWCFowtGq0xVqgsALTAlGq0xUosmxapTAlMCU1UpWKxISjCVpW+E3ioYW2IMEECdDsdKU+GZfeUjzBG2lTrT4YNNFUJXclXP4RsubK2XrBj50HZ0akxOyuEoglPyVMlFisTkqZKfkqZKLARkrhSrOSm4bBvcMIpY+FJyS5GtygUoSlbmJ4BfTdJ0nQz9mq+H4XcdguUieZBipWWLVplaZJ1RklKApWpxDANabK3oeRqky1akmrQcFUpV7hLhbgzbUgpXIoe6GmetuYi0ax+IYC3cMgheu2tZTMetLdj1rKOOuGVdlbG4PITrI5HnFUmWr9yTvSGStkBUy12nZKlMdkVaaqUSpTVSkZ2AqUxUo1SmqlFisWqU1Uo1WmKlKyWwESt3gvCFuGWmJ5c9OdZaJXpvZ28AuXQGawzykoOjTEk5JM9TYUIAB0igx2DS6sMNjII3B6ikqs65qbaaOdeM007T3PW2aprYctsKsQIAiOVeJ4rwd7ZLZZQnQrsJPuxuOle1ud7Y1wnSDFXhzSxu0RlwRyKj512J2jWudnX0C9bQHPlExqfL89q8ZfTvN5n869LDn7ng87Nh7fkpi3WpwRraE5wCSOevp4VU7Ouha1mtSoyjLS7DxlwNcDKsRpA2Mc9K9Fwri1oKBop6V5wE1wjnWeTDGcdLNMeZwdo9t/nC2dyKB76ciK8ZJ61wseprn+iXhnT9Y/KNjja23Q94Tv615U2fGrryd6SyV14o6FVnLknqdlR7VA1qrTJQFK1skqNbpTJVq4ABJ0HU6CsROPW2zZVY5deUkSAdOonbwqZZYw+5mkYSlwi4yUp0rOPtCsqCmhEkztMwNv+H51pYO72ltX6j67Gljz48jai7KljlDdoVkqVYyVK2sgipTVSuolOVKiyAFSmKlMVKaqUWSLVKYqUxUpqpU2IBUp6CuqlNVKViCt3mHxH51YTFv1pAWmBahpFqTXktWsZc5Emm2cRcb44867w/FC2CI38q5jLyEFoC9TMAVg+ar8myf6b1fgsrbMHNclYqmvCbh2AM+OtDgLyMMykMJIkGRIMEfOtO3xKPh+tQ3OP2blrRL79ipd4FdHIHyP71Rv4VkMMCPvka9KnE1O+lNGMTctWa6jKvuiaPp8UvtkeRyUJSvQ8TvWnUwBm67H51jtbrqx5NStqjlyQ0Ok7KpShKVay8uf3+xrhStbMyoUpbr9dKXxzF9khy6sQYGZFYaHvDNv5Ac68Hd4zdukku0ECIPNdiQNJmdYNc2fq4YeTqwdLLLuesvcUtrcKEwAoJMaAk6a89INVf8/2eZMSRMdOo5fyrydhpDTBaIVpiNSTJPl9apWr5VYEdfv61wS/qWSrikd0ehh5PT8X4sXV0tAFSkGZnUENA9RXmOEK5L5FLTbb0Xm++47tWuwYKHnVpCqNQSCNGMwJnQbnpVXC2iHIbuiHmBOWATGUHUSB9iufJnyTmpS5No4oRi1E5ZXM6hhMkRr6D6flXpjcdbYUAJER1AnYgeEyda8gt0jnoeu0jlPqact0t3RJ1GmsGP5/rR0vU9q1V35Fmw62em7a/wBf/jP/AG1K8/8Axd38bf43/epXZ9cvR/Jh9M/Y98lunItRKcor1rPLOrHSnKB0oVFOVaTBsgQUYSiUUxVqbIBVKYqVj+02OezbBTc+GoiCSDtMco61c4BijctJn94qCdRqdzAmRvz9JGtZd5a9Bp2no1GgEqzhcMGOpjxqjxDjFrK9i2Ab4UkeY5ZpEN0BPTcb5nscby5rV4MQpcSYIkMZhoBPgRI02WROLz3LSl+TaPTpLU2eqvYADUMCPH8q8f7c4oiEQMNCWUm2VMAmYBLLpJhhrGm2vs8ycpH5Vh8f4CMT8UQDlWcoNwkyzGDPw+UHrWOdTnCkzbD24zujx3sljTbcZrjoJzkMcsh+9+Fg4Mk/Bz1kCvdYLHJeUMp97NlBIkhTBIHSa8DxXgD2kGW6Spi06sIVsoJCKfjYbyug5wATQ+z+NvLftoC2RIXuwSyqCQvRl325sa5cOd4ajI3zYFktxPomKxKWxLsFEE68wBJjrQ4DGJeUNbYEEBh1g9en8qwPa26btnOA4tMAYdQhzaELb0zM+hBUiPHar/8Ak84czLmOZV7O3kVtAUKgqe7IOjTqcw100Nbvq6yV4MI9Jcb8m/YwubcgVj8bNtku288Mq542YAGVYRvrG2x9J1uLpdTW3lAAMyNz5nQCvnntVbxNwFiNUzSQWEKVkanVttiN+Q0iM/WaGvc0x9NFr3M3C+0VxSrEktGQHMTqVIDkGZP12r2vAMcb1hbpyhYyzrIZQJ30PPavmuLe2F7qGWnfN3IAOTXqc09RFaWF4o9y1bw+gy5mAARWhiCe/AmQoWCdoFefh6yeJt8nTk6aM16GhxuwzPma6l0qDo6le6QR7vr6wJ3rz1/hrJqSraHQOPOANJ8hW3irSkKO0SQABLDNvrIEruDzq9gba27Au4i5lQzlB96JkEKkmf61w5+slL9T+DoxY6VRPNcP4I13vdoqII0nM8k6jIDM7mDXbOAy4gJkUyCdIZMsTmE+Rma2rmOwzn+zPfJ7odQMxO4zsTvA94jzrHv8RLXnzIFeLoO4YOynQj5GjHnyKWpfBUlapmngHN5ltYbDjMGzoSVyCNJIfQe7uATPnTbv+TvHh3bJbOaTCXgFkiGENETr86T7LcT7K6nZFSXdEbMGJyZwug0+ETOsanrXq+J+2Vy290i8rWxcIQpaBUIS2RSxjMYAMjoRrTzdXnk6f/fBrjw4VG2eEvewuOWS2EIAGY5XtNoBJ91tSINYQfMwGYQBM6T1EaanavrnBPaM4i8lq8bbpcMDKLhDGdEZCxQGJJnpp4fLbFpmUf3xGUT38knf8TQPSqwSlNOxZIxTWkoxb8K7Wn/At+G5/wBb/wDOpW1MzPdoacjVVRqcjV9efPUWkNPSs98bbUhWdQTAAJ11mPyNUOIcYvW2YLaWAdGdgqxoOu+53G40rOUkgWNs9Oiimha8xx7H2xaUO5Uko8I4DZZEka6ga7bmKfwz2psXFYswt5T8R3WYDDTXy3qHOKdNldp1dF7jOH7rPDNoBlAEBRqSNNTOupjT589nsMosltQWEtJiSBpcmJXbfw8KTjPaOwuRc4YPEkH3VYSGPht461i8c41ccCxb0EAuQATqQV8ABp1mfCuHPkx459xvxwdGOE5Q0+5W4ndy4m9dDDNah1JJIGkLD655AbTfTTSa9pwLFu6f2uUOFXMonNmA7zETIBlSBHjrOnzQ4JmdiTltyZWd83dzBBInTTXcVvcJ429hVRiHYFjOkhTEosDQGJ9fCuLB1MYzbbpM6s2BygkjV457VPZuqEQsgUswKlG1EKCW2htZgTMeJ2X9oLXYi6pUkgHIWhum0TvtIE14G/iHvXmYoI7zZAo1DTlkxJ01+9AxWI7oKlgA0CNDMxIE+7J+Y06iZ/1Cak1Hf0IXSxpWb1q8uLuL2zBWD5cxLBSJXuoAYIBOY6/DGwquOGWQQe0AfKpIYkkkETqJltAR4DlqawsNiFZTuYAmX8QxGXYfPltTP4gkgmBHUAzPT5TXI80m7a3OrTSpHp7vHsObyqVLIttgCGaFuMDqttmOUR4mDG8Am9wf2st4eyttLbkrK25KklSS3eYHqx0g7nmTXhGfWREzrIEyOhkxqTrQA3GEKFSIE7SvTafDkNRTlmnJ2EY6VR7j2i9oTiERXJtaw6p3nI00BkBJ111OnnWBxkrbu/2C3FywzBWJyydMzfDPSZmaL2VsWF711lV82gALQDpIBiG1Jk7fWrGI4sis7D+6sjNCwud3IhQdDlEidZMeMVyTyyk2nuaKKMPimcKl26o74fSBm96CxXSG0Osc/ld9meHrcGdLq22E8mMLsAXka7n3Z26icy3xs3ryPfKgrL6AgXMonsjJ0U5QD4aUm/ca2lq4jEEyLiAaZh/rN/iBiOonnVb1pfJdbGxxaxdBi86kEkAhiRIMiCwnnyH70vFcWFwhOzLPGVSFzJtGgEyJAIiAAd6z8Txd7mViQQAFyNAGnIzp4g+NX+Dcct4Re0RJutKkFzCAgd5I330mdqznF6bq2OO/kq3+GXwJe12ZOpZiElfBXIPPbnHOqAbUaCVIgggyCYCkiZ1PLqfCr6Wb19x3bhNw++wbLmbaW23J8ddq9d7PcLwmFvFHcM4Vi11hCMWGUqig5gAGGus6noBLm4rdb+iLjC9zyvEA1nTs2trcOraHP3oKZlMDbVRz3G0JweKQWr0WpXtLQckjMCBdyKDGv+snrA2rZxVu1hFW5h8bazFVzWgZJIG0HRxrzG3lWhwvj6vaJRbdlixN5QndJI0uBR7wIB0iRB5U3KUP8f8AY1GLfJV9h5OJtZbbZcxk8kARypMjqI/5hWD7T4HFpdy2rWI7PKnu27mWY17wHlzret+01wXStu4GcZi0WYIAidWQTqRtNKwvt5iWQN3APFVH5VrGeeC2it/f+BuOF+X8Hif4LGf7LE/4b9Svc/6b4jrZ+X/lUp97qP2L5/gNGH9z+Ctb40v4W+n7048bQfC58gP1IrMt2Pv7NGLIHxffzr6/XI+b2KXFrnaXe0VfwxK6gr1GaDtVLEtedmZsxLGToYmI2iOVb62ejTTFw/kfl68v1rnnh1eeTaOevB5UW3G4aB1Dc5Og9CahRjvEk+A+Qr2H8PprttuRv5b017MiGRSNZhQJ9QJrnn0k/BtHqoeTzmBwDgC4UlYJElJJHRSdflRY/FXA6Ed1iq6ECZA2JnpA9K27eBKnMjXEPLIQmXWdMoEVZvYO7cjPdvOsyUcqyN3phgwMrsInrXHLo8je9Gq6nFXJlLxpiiq2WAPhzKSSxMk8ySSZjr1qouMUsRomp5tOWRqM2xgkjy+fsLTIN8Fg2ncnD2xPmAIp2HsYc6Nw/Dka7ZhqfADT76VzfSzT4NF1UGt5Hl8cOytqxcssxMLIY65fHaJmBFY64922QMTJDFQfxEkD3Y3+ute1xeFDLlaxZyLJUWrbJkfWYDORG8gqRO9Z19bjgqVCyRGULIAGgByyT1M6z6VnLE4t2ilOD3TMZrkgG4cxnfQHzGmwjoN/KgcM8kmBETIJHI7nfz0q9icDejNkJjTQw0xKiOm+sQDvE1RTh99oVbF2TuECk7nTn1qaopeoC2QBJUryAJAPXaIJ8fA+qGumfIaGAFLMdATrpyitgezt9t1uWzoAGBlhBnQSTEDkNxvrDE9nsQxKSgZYkNAYHlqB6wCTFK0VpZnWcM+Yzma2CpYCFLAkwgYkEScwOhO/WaQnc3A3B3PLw93X56CtbEcFvWiUDISQsr2oBy6ZiqGDOgn5+WVj7TW1zRCzlDBp7/NdOYH8iYNLkaUgsHcXJdmAQkZpEmCFCjpo0/8ALHPVIwqtcRGb+yIDSD7pdYBOnwtof+E+dZwcgHlm5c9Dp9a1sDxESALYc9mLeoBEgghsum0a7/WrcWjSNPkCzgik27gBlhqveEgwSp0B2PMVrYjDW7N8q3cTEWyba5yTZS57jnUwwAgaddaHDcTXs+zYIcshGJuZgjNmKkxLAGY2Mb6RSuO4g3XVpSFXs0IaO4mwIIBBliddddJrKpuVM2/tpJoq4KyLUlW77dzMQ0LIMxz12nTc9Ka2EHaqDccl8qFspVgspoJLa66ZoHdmRXbHD7lxbrwzBQFEFnAM9VB0EkmJ3qtawt1QHLHKCGDCTBgSRnH4tqdb8hqjRRxuBVGQC8nuIcsX8xnX/Z5efWtHgdgG1nNzU3MpgOZWEgAZZkE/lrQY/hTvcthI9y0kFu8WVQG1iD5mPSt/huHt2sFaDaXxiLjlYf8Au8q5WJiBqka7yehrWWlxdmC+4r+xtlb+Kc3GIC2b2qjXusAmeRAGh3/3a8xi7eXDhdwHI9A7AflXpvZLFphb2I7eES7YuIjSGEsyk5gGJUb6wNqpJwy4Ei5a0lmggHdiQY8j9a1hHheCZPazx9SvYfwFv/Yr/gH7VK00e5nqfoXLaN4/IzVhbRPI/KrVoirNv0r0VnvyeI4yKaWT41YtYfzNW0SeQqwgFHdb8kOMitaw/h9Ksphqeg8KclDyerFobEphvCrSYflNMt05R5/KsJZTSOFiLeHA+yfqatC2CZkz9YG2tdRPuKcorJ5DeOAp2cKveQBgAZBMkMXliQTruTQ3uFI24B+sVohahTTw8KzlP3Nlh3swrns/b8fpQPwHWVuEn/ezH/6tNb4WiyxqdPMVn3K8mscTMBeH4hFbshbDt7zF7sNpuec+tdXg13UqMpbVgGaSYA986nQDkPrXoVuD7DftRJe8PT+orG43dHVU2qs8zY4K4J0ZSdCe62g5SzT6VnYn2IRnbEXVvXWb3lDIgMCBG3T8Qr3Bcn4fr+9EjHx9daxnN3sjWEWlyfOrPs1ZZCFwWUmdbznMpGmhOeNyRHSax8N7KC0WF28qvqUYK7KNY1fTWJ7pA3J1ivs1pjVhGnl9aIuXqXsfDV9nVGYvcA3gpcBmCB7nZyJkQJnUDWkPwEhmDXkGUZoh5yjntBE81JFffiR9mhHDrLGTatsd5KITJ35VslL1FsfBLXBMSEBRO1G4a02bmRpHeM9Y5b1atcUxNswO0QAgFXNzKrIZXx0/X5fZsZw2wsn+EtR1NtTvvoNBqax8TgrJACgWwAQBbNxBqZPdVo51lOenZmkY3wfO34/iX7ue42oI1YETtr3dxprpr61mXLl246oe0zhpGYgGWj4+Q0HPxFfUTZQbux0gd4ggeYGvrNVr2GtGIe4I3giDrzkH57+NR3kN42eAxWCxNxpdLjMqSgMspbtEBUESJyk6a+6T5eus2MY2qPcKZ9R2tpXNtnAUlHaUYKSdSNoitI4RJBVnnkSJPXXadetWjw53t5Jc85AKmdNZBp9xS2FpaK/+bL3473/Xwv8A31KD/Ri7+N/n/wCVSjYLkeatr9/Yqwi11LfSrCIPCvYbPDWMG2OVPVa6qff9Kag8vvzFK9yu0dtp0pyp961EWnp50nOhrCFbSmoB1/ShVfsGm218frWEp2bxxJBWx1qwB6il27A+96tphm6EjrFZ2zVQQkKPsiu5fL1kfUVdTBseRHzFPTBRy+tLS2XSRli0DyHzP5RTBYHT7861rOD12UeZmrQw0eI6ADSksZVmCMAOn351YTAR/WtZx4H1qW0nkflT0JDszhg/uRRJhiPsfnWk9qNjB8tai2zOu/I6TRpQyktnrH35GmCwKudgNx+lcuuFHeP34UaUgK5t/c0OXz+tdfHDkD86oYnEO3xQPD96mWSKLUGDjMTa1GXMf186xmQGrD2PGldlXn5Mjk9zojFLgr3LAqWrIkyKtZKiWx5VKRVh2HRTsK1beLXnFYr2hO9Hdif6VpCVEtWbf8WnUVKwZHX7+dSr7jJ0I8jaYn+lXLanp8zH50uymm0HrAq1aVoj9P5V6LySPLUUFatg7kD5n+tWexQbPPpHLTegsW/D9av2MODqRHofvrUKU2VSKoC9asW7f3Aq1YwoPP6fuavphCP6/YqVFl7Gdbs+FXMPgyx3A+tW7KDoD5wa0LdkAAgjx5fmKtQ9R2UrGAIIJE+cCr+VY1MHoP3o7VzNoc350bWV5EzVccAVktnrNOVtd9vX6cqYbcc49K7bUHXeiigQo5EnzEUSmd/v1qOsneaNUoAFknbSoi041Uu4iCQKTdDSstZRS3vKN6zrt8k0hiaylk9DRQNF8csbGs/EXSx5xymlkGpWUptmqikCaBhRmhIrNlCXt0lrdWjFCRWcoIpMq5a4FFPalmocaHYtrQrtxK41cZ9N6kBeUdPzqUOeuUDMZU2yEsPEgemU/nVyzcY6ZQfv6UFjCjZp+WlX7OHA2APTp6g16+73PKo4J5AD/wB31Jq9hLpUyIBjkv6U2xhQR8I8DEHwFNs4WPh/Oq3GkGtkE846x9mjRWG8/M/TpTkX0qyiDkaYALZBExHnzo7SNOhinKhjlXezjlRQzgQ9dabbU1yKcqiKQwmE+H3tSMkazRu/WqWLvEGAf3pN0rKSstlgKqPizOmlVmuE1wGsZZLNVAY90nc0Ncrk1k2aUFFLYUWeuE0hgGuGiNATUjBNAaM0JpDFmgNGwoGNSAJNAa6TQNSGRhSXFEzUtmqRg5a5Uz1KAL2Hs93YgERtTbeEG6irZubRsKbaAnQ17DSPMRyzhl8PGRrVhB6GmFK4ANdaRVE7Om21qbCiSgYapR5aWHjnQtfEwTSsdDaX2lVjxATEadf5Ui9ip20rN5EUoMLFYgzAYRvp+RM9arTQTUBrCUrNoqg5rualzUqCxmapNLmpNADDQzXJrhNIYWauTQzQ5qQBGgNQmhLUhnCaEmiLUBpAAy0thRsKBqQxTUtqazUl6kYupUmpSGeiw6bU/ZttI35Vl4niHZJmbwGgnU6AaVm3eK3WIlsg5KoEnf3idvICvTnkUeTgjBs9SL4P8vvyorl2FJ6AnXwFeUGIkQSTsdTzHPSmnEyIJMdJMfnrWXfRp2jfwvEMw1K/PSfWmnHBdDqegj9awTi9KFbnp5VPeY+2jXxPETIhYHjvPpVTtJ8zqarK9MBFQ5tlqKQ3tDRB6VFEDSsY7NXKAGu5qVjOg0U0M1KADqUNdBoA7XJrtSKBg0JoiKGkBw0JPjUoTUjITQE100BNIDuagY1xmpTGlY6IxpLURalu1SUDUoZqUWBS47/e2/8A1E/N6be3NSpXVm5OfHwSzyqydqlSsDQK3t602zUqUwLFum2edSpTEEKby9f3qVKYA866m1SpQAfKoK7UpDOjauVKlMDi0wftXKlAHRSm/b9KlSkwBb9/1rjVKlIYB3pb1ypSYxRpZqVKgYD0hqlSkMGpUqUDP//Z</t>
  </si>
  <si>
    <t>Matara Bodhiya</t>
  </si>
  <si>
    <t>Bo Tree Worship: Offer flowers at the sacred Bo tree. | Temple Visit: Visit the shrine. | Evening Visit: Enjoy the lamp-lit atmosphere in the evening.</t>
  </si>
  <si>
    <t>This is a religious place. This is very famous over srilanka . Mathara bodhiya is very close to mathara bus stand. It draws a steady stream of local visitors, especially on weekends.</t>
  </si>
  <si>
    <t>data:image/jpeg;base64,/9j/4AAQSkZJRgABAQAAAQABAAD/2wCEAA0JCgsKCA0LCgsODg0PEyAVExISEyccHhcgLikxMC4pLSwzOko+MzZGNywtQFdBRkxOUlNSMj5aYVpQYEpRUk8BDg4OExETJhUVJk81LTVPT09PT09PT09PT09PT09PT09PT09PT09PT09PT09PT09PT09PT09PT09PT09PT09PT//AABEIALkA9gMBIgACEQEDEQH/xAAbAAABBQEBAAAAAAAAAAAAAAACAAEDBAUGB//EAEQQAAIBAwMCAgYGBgcIAwAAAAECAwAEEQUSIRMxQVEGImFxgZEUMkJSodEVI5KxwfAWJFSCk+HxMzRDRFNig6IHY8L/xAAZAQADAQEBAAAAAAAAAAAAAAAAAQIDBAX/xAAiEQACAgICAQUBAAAAAAAAAAAAAQIRAyESMUEEEyJRYXH/2gAMAwEAAhEDEQA/AKKLR7adRRAV6xwA7aW2j204FAEe2n21Jin20CI9tPtqQCn20CIttGoxUoibGdrY88U22kMeM81JjmgUDNTeFQ0UmKkaYUVKh2MBzRYphRZpUOxgMUQpiaHJoSCxbacx0aCpQtDGiuo20RNGy0DCkA1MeOaEnBpE5XFPjYrAdqDOacikFrRIlsYCn25owtPnFAAhKfYo5NF3owmaBoi6aUqnKClU0BlhaICnAosVoSDinAogtEBQAOKcCixTgUCEsYNXrW3XcGPaqaggjirtrIRwRUTsqNGnGqbNu1ceRFV59Pinfep2cdgKmifPhUwI3c1hbRrSZkT6dJCu8Hco78VV4I4rfmI2kDnNZU1rgll+VaxlfZEo10VKejdCoyRihT9Yu5eR5ir0RsYGiBpsUsU6FY5p1UnsaYLRjilQ7HU7alUmoaMPUtFJhGonp2ehJpKI7IyKcLRgUQGO9WSR9OlsANTEjFAaYA4HhTDvzRU1ABDFPQZp80UFhUqGlSoLKYFFirTWpAyDUZhcLkrxQpJg0RAU4FEBTgVQgQKLbRAU+KAEvFTI5U9s1GvBqXIxUtAi3G/Gak6vPeqSvisnUtSmjlP0eX1CMMOxQ1hkqCtmsXZ0m/NC8e4d8Vxy6xfK5HVbaoGXKgjFbOh60dQmeJgAUTI/7qxjli3SKaLWpkxQFQpBxndjwrKjvDCqxojL1MMT5jPaupkeM27FxuGOxGc1x12EbN0kRjQNsOG789qnI2nY0lRoJewy3PSUMjHsGq1t5x++s1YYxdfS4ldoUwmxmP1gO5NbtvEby3E5jMRPgexrbDmvUjOeOuinikeKe7d7UDCjOeT5VQfUS28LH6uMhh2raeaMCFBstRyJKSFzkd6G4nERUHgH7XlWaLoxsoidUVjyduS38ihlvlnbayKFJ5YHn5Vi/VRapMtY2aFs8hd2cnpjsT2NWVIdQykEHxBqkI4ZYOnHcBdv3/GptNhdIypnWRc8KB2rSEyZRLQFKpdtMVrckixSwakIpsUABtpiKkxTEUABilipBGSM4ohF50rHRDSqYw01FhRMh3IKRXcMeFVYJfVwanEorm2jbsinhCEEdqixU7yAjGeKAAHtW0JWjKSAAosUQWiC1oSBtosYFEFqhf38cIaFg24g+sBwD7amUlFWwSss3EnRt2lwDt7Dzrn9Su1uz0khXJHrkckZ708ty4t2jUsyY3ZB4XzyazHlkZl6MDEv2cZOcewV5+fM5LXRtCNDXTOMCMnjnj2mrehzfRNSRpWVGI2Zf7Wf41nzCNZdpnZiBk5XBPuqlks2z1ipPAJ8ffWGP7NTu9SvJJ3EMEu1Qcls/WA7isKWPpyHHKn1j90fnQ2B22PWkBMpX1gxBBHgfZUjtG0SmJ3DOvI2jA8+c0py5NiSoFLmVI3EDOgU4bHiMc/xrTtvSG4hthayBQFUbWHlXNtcSp1I1kUR5xgAZb2+zwqa2kjMgV3ViV5z2FQpuK0M3pdRa/jeOZQdo4bsSDis6GC5dZWaZmiXBw3gD7KpNJGtziFSD4nccEfwrSjifa75Uqo55/eapTbWxUVtOWSa+6ULbkGTuzkLjnJHlRMsbzyZcSW6HO8Hgew/Ks6UXIuCLZyXY4XYfwz41D9GulQsqME+uRvwrY8R51VxQ0bcH9Y6xjYquOPDnwq1bztHHHFbQD6Y27L+GM9+fZVHTeudPeSMDdnJAPrH8KKxjZbmMXFx04mUbt527efj51sp1tE8bOuj5jGWDMByQfGkRWFoc1vAJjNLvlEpjQrnBXPB/wA66AYb6pBHsNd8JqSMJRpke2ltqTFLaPGrskj2022rKjBGRxUrWythhgVDnRSjZDGnq80XTFERs4Jpt3lWLkapAdMUqIuaVHJhSMtQDUm2hVakQgcNW1IzB6WaNUxR48aIU1SFsECiC0QFEBTJBC+FZWuo0kGwR5UeuWzyK2QPaKaSGKaIpKoZD3BqMi5KhxdM5d7J49ItpQQI52ZW7EjHvrKuZGtSEBJU+qqrxwOfjz+Fdn6T6fHaejFisStsRj6vnkeJrgjM0t4qBsAkDPJx25rypp3R1E0cOSsnS272zxxx7qutbkxdOQB2DBsFeGPfwqJbtIYVLetx6vONwo/p6Fwitg4znwHB/HtWDcr0BNey2onHTXYWAHTHn+VQNO4dmbp7UGBnlsnwrOFyksuyX/Zscbg3re/8KaHDWzHY7BSct4VpX32FFmSOBpQzdygJHGOe34fvqp03iuRhvq8gA9qnhhEsA6Ks8j+qSONvIxgVXW2lnvik22PHLLkdh7KaQw7yKSOR+mrEcZx2Pj3FW9OaW5Mu8Mttt2tjHyqxLIn0UqiqkQ4x7P5NZlq8kG7uS3IXPAOalSbQjUyNrQQJtXBB4z4jP8++h2otqIrcdMBj9rtRvMpkjSIhWfjI/wAqhuI40lVum0xHJLZ7+R9hqV3sCNbiSBCUmWZuoFXcMj4+dXzdyapDHZwx25mVwkbhdreWMD+eawHlyxmSIKyvu2gHArS9H7tk1FbgqZGQbhngDmt068gaCJdRNJZRtAs8gy5YhcEHtnzre0HT7+2SZ7zbskVQiht2ME/hWDO0s+piSBYbaaU5aWQ5XPt+FdssqLGiqVOABx27V0Ymu0TJEJWmxU+0sN3nQEV2p2c7VEeDmpUkwOaq30/0W0km252+FcxJr1zMCgcg9yQuMeysM+WMFs0gmzr5PW9bwqPgVyL6xetLnqk7QMAeHvqza61MrlrhwwbAxnG01zL1UWbcLOjbA7UqwrrXZEA2RxP7jSrT3EN4mg31O2t7xbVyxds5OOFx51EuuxTLKsCEOnbcR63tH5Vz94k0k7SMJDIDjLKe48PfSscpHzMY1Y8hhy3PtofqNk+1ov2GryHVnaQsVdQCuMjIPcDwJ5+ddXH60asARkZwe4rioJ5ULbkYF2zvx5MAAD4jnPxrr9KkkksI3kk6hbkPjBI9taYp8kRkjxLAODRZ470YUN/nVTUZltrdnVwGxnzPyrVtLyQtmVq1+8jNbiWNYjjB86v+j0txdXcdsJ0x9nqITnHOOMVyiSjpNdtCzOrEjjA5r070W0dbKwiuJ8tdTRhmJ+wDzgfPmvPc5OVm0YJkXpPuubaS2AkjIGd3dSK8zfTQxbORLnAbJ5GOCPw/GvbGjQqwYAg98ivJvS6JdO1WT6NzDP2H3TkZHu/zpSV9FswLhlieOISMU4MnO74irV19HaAKF6is20yY7ZGO/wAKryXUcu0PEn1cDHepYN0SxLA7kuSBkjvjyqP6SRxadJHKyoyMPsn2edaLoOmtu24Enk7cEfyPOq9nsKSzyIxlyQjMf3VajkikUyOhWMgZZj9bI+dZydsZWW2heciBtwH1iTnYP5H5VnERfS1GwtGDztO05Pt5rUuLg9CIRhOmThtvcAcVQkhhchotxGcIPEkVcdoVlu9jV7AyR4jWMNkA55A7fjWRE7gEgtk+GAQfOtwXMezbLIgUgnkkfP2eBrK+i9e6mS3YMiqXBPiOM/iacYtLYJ2XOmwtoGhJDMcg55HjkVVkklllKwPt3Ek5P7zUnSnbZbHKM+Cme2KgWMokId9hlbAyMYHHj8aFEZpacwdHkZMyBuCq54x2/wBasJNLPI8qlTHjgHz9oH5VXthFbWz9R96rKy5Dd8YINS2d1bfrGiBVTg7V4P8ArWckBDLdK8pj3k7SeF4A86OM3UTiW0lkVge5JwPZ5GosWrvJPBG8z5yVbzq1BI8jvvhVNoGRjx9n8+NWp8VoR1Wm6xDPBEJ5lS4PBQjbz8zWlJcQRR5mcIe3PPNcGUtt5l2PvHbaO9Sw3s16j9JpH6eN3BO3PbP41rH1TSbopYk1bLWvai19lLdjHGgxtbxPtrCWOUgpNIue/n8RVy+3bBtIyOw86GMtKVjjRnc/ZjyTn+Nckskpu2NJR6A0/T77UHK2sPWl7d+cefetDUtA1HRjE1z0WWU4wrZ5Phkit/0T0LVIdbS7vYDDbpGT6xHrEggcfjWv6T2aaxbbrSUPLa5YxHOGHsraMPjbGts4x9HuILqRdUAG0Dasbcc8/upVPfvrU0Ma3rzrEMGMElRSq+TRpwT8lKWYi+gEWUDXNwzYYnOMc8++glnkjutPhBBDxANkZ8CakmtpEZJRgpEk7Fs+LBcfuqJ4mm16zijBLKhIHuQ1k4taNLT2W9YuJLa3SSEhGBUD9j/Kqem+kF1HA8MirKOdpJxj3eypPSKO4il+jSR7S0ihMnBYYYfwqillfi6VY7N8twOM1eKcoR/TDIuUtGrLqlxJarBFIF5IDL3PsrNnuWJwsx3bgq/a+Gamm0y+trd5GgMe/wBTJX8Me2qlwzwho1iYF/U5jyCP4CpbnKWzNRRqW1u+oX1rZxEr1DjA8j3+Q5r11QB2Ax7K4f8A+OdM22r3k9uEIO2IEcr5kZH4g13NaxVIpIZ/qmvPPTG2QSB59hRW75BA44zXoUmSOM/CuX9IrL6ZaSxTrvU8gNzz4eVV2DPL4yJQhuJUCLwqY8D44rX0tU/RU80I3zC4CoSOMEcj91ZJsrrrlII2LhCxA54Hc1r6a7f0akuBCxQXKo7hc49TnAHh5n2Vm4ski+j3OVVYpZTI+fUX1B4EA45PuqfU9NvbKOOE2E65j3feA9tNpN2rpM01xKIbeTMahiQ3Oe1bXpDqEN7c2lwglQSW4ZgR2FLhodHPx+juqS2skiIBLv2/R5Rtf3rnj4HFdbo3o/efomOzu4xCzTZb1kYhcd+CawU1exNqLcQyEiQsDgc+XNaUGvWOkX0ck8VwdnfaFxz8afFFwlxKGo+iV8kkixTWksQBCt1QpJ5P1fPntRR+h8+naYb4zpcTSIUEMXIGf+4kZNWbW+iurPVNQHUMUDhtuzBAOT5+yo5PSfSzpS2REoYSb2JAxV+KI4q7KH6KvL6G3gisrlblf1YDrtXHOTuzgDH+mcZz9U0640if6JeRZMbcsPXQ8A8fMeFbAvreApLJcTRrkPuTPqjPfirWqa3bX2qXM1ndzBMg4wQMAD8qVFS+TsxIIHvNIjnmstsZkKq5UhW4A4wOfhSt44j61jDGQpwGYcjz/n3VtT6tZzaFEj3yyTrcYQN4DHIrFaSJg6xPAhViPLsfL35rOaZNCmIjdy0a7wPWKk7iKG2XrFtkrYIBIX7Q8wT4VmSyvBIxlf8AWRtkKx5bP7xVpdShkYfqmXyKnBTjwxWTTSLxpX8iaQvbRTRwLIf1uELjC4Hcc1raJNAlne9fdD11QyLjG8KWOPPx4Hc5rNe5F6sY6ok2d0Hqk+0+VXnnSO227VYn7LDcD7O3PxoTdmrxrwQ6uytL04LYQdNm3yRxtiTOMAA9hwa7L0O0tLexgvnsJUvH3BjJgHaexx4dq4/UZHl1FSwCiMIhCMVDc92GcE+33eVerwqvQQ7Ryo8PZXRGKuzBDl2KnET8+1fzqjZWT2kzvtdlIwFwB/8AqmlvrK0klgKq9wuWECAF2Hnj4/jQJqiGEP8Ao2cMDymxc486uhl6aNJ0CzWxdQc4YA8/OlQ211Z3Kbo2THiDwR8KVAqPGG1KCQZkZ29XblYyB4/nVnTdUvEv+tptmZ5AOCMk+391HYx219dXbXDt0IoMYXjJ7AAAcD3YxUGhSfo+X6R0G3RsfVJxuyDwfnVNKxOVRtmvNqVte2YvNWR0aK4KhDyycr4+P1h+Naeh6raQztLGHYqo/WMmRz5Vx0N063kgkjj6TjEi7zhhnn+HwronXRLWazWyhhLrH1H9fDSk+GcE5HupUnscX9HSarr11aahaQyNbGCRj1G8VGcZx7+KhsPSa3vp2DWyqigsrkL6w7/OuU1Qw3dhNfSSN9IjZYzEHGUBB7jAI7n8an0bfZxW99bG3QyiSL1w7BQMA5GalOymkkdnZeldktoj3e2IyTGOJIxncM4BxWzLqdvFcRwOJBLKcKoQn/SvKpUa0lsJpZIDAtztDRAhlAYZzn411eu6zHNfQnTLg9XGCyjgDOMEj39qb0Sjqo9Rje3aZ45IlUnO8YwB4+6mW/t5IWmEiiJACXbtg1kWV89xpdybx45t7GIlkAVvDt4iub1DVJ49Gu7eGSJiJgMcLhVxgYH7h4YGTSsuMGzqdV1G205904gCsOCIwcj8qx5/SjTJbN4oxEUbjpGEhWBGDnHsJ+dcprWoXeqrCsqgzwwhGERJDDgg/nU+mW1jJ6O3kF90YLwyKYWlAD4BU4UnwPIrTi6sytXQ0TaNFcGOO4GyRy3OcJ347e6uq1PT7GXR7eYNG7Rwqiyq3GPlXDSR2xi3SHc8Q+ruxvXJ9/n+Ares7wNaSxX06qXAw3OCAOP5AqH1Y090ULbSLJX3fSNwEhz6xPaQjj1fKrupWGn3txFMJ/1MmOGyCQc+z2Vo+kGl2ttYC8sHiVJEDKN2S+WDFhycjnNSaTp1ldafa3mqzphlO3Mm05GR7KP0CrpVhYweiV7AbpSLufZu5PeJcDt7SfjUWkaLoUCCa+lSdnHBKtgcc4q5NY/oyyiHVt3guHUCQSthdowTntjG4GrcWiRwWaKskDITtQq+7wxx5mlJ8dj7dGLq+i2skZiiukROw78rjPHyrDmsDYkyRy79yLuIPH1RXX3uk9SGO5MkLqmf+NtLELt4wCCc8Vjappk8aiO3hZ4lRQSpLAnt/AVS3HkLzRz/AFpB2I+VD15CTnHyFWfoF03aCT9k036NvB/y0v7Jo0MqyTOUbIDefqjJrTvPRa20+3tJrzWQn0tN0S9AntgkZB9oqpNp90sZJtpe33a9AGkWetaLp8d9C7BbcYZGKlMhTkfIVEmkNHLWfopYNC8pvpjGy5jeGRRx8ataXpWmW843TTuikKQ0qZ8u/vrWfQWs26VmwNmy4O8nqLgHGPD48GsS6u7RZ4bWBFabrKG2gLu5GN2fDPPHxp/FqwpnRzWno7JdyCWwcyRkIzZ4yPbnvzXVxbTEuz6oAxz2rkb3oi/S0E0n9ZYSuwwVTPcDHuPmfwrWj1Ur0bayhWd8fafZwPHODz7P3VT/AAlGbr7ejEeryNqkEhu2VSzqDyMcdvdWHAdJvNWji0qV1XqDKsx7ZHn41ta61jd/1uS1jZhhHMkWPDzPl7KK29HdLtra11CzheORmQ9yfHyoKrRqaVBp9009xFGzsrmJjKB4eVKp2utP02R4grRdQ9RgkTYJPjwKVIR4xpFw9pNMky+oBiRMdxVtbu1naWS0h6YPDDPc+dZUsRkuJJW6XJ7dUccUlQQKGjmTc31h9n3VVmU4ucR725e4uAzBd/b1RjPPepupLEWeAujIoKkE5BHjVaBpre8jlt3UyLyGC5x3q/Fdrt/r0TOC2RuGDSNYt1sdJ7q9keW4bc8iFnLeqZCBk58+1a0Azp8cNjHPKofJkKDAznj8R8qox3+n5GLXJ7fVyf311PopJFJb3CxW/RRWXjbtBqaaLk+RgpHfiJla3mKJztKdz5ipba3kF31bm3uBErbmIXHA9prv0VcDgVV1nC6PdYH2D2qPJFGUlytjbQTqcBZd+0kZwTnHyrI1VrO4v5Z4Nqo/IQY4Ytnw+FH6xzlMj396csxXb0hinii4StlZnzjUdGBA0n6XkVASRwB4Gm1a5gnSMB8PGTlTWytvGsnUEK7vPxpktLZc7bGD2+pXQ8z6MFhVp+Uc+hh+kKIpgse1S5J4Jyc1YXU42mkt1aPps5bqj1iBjGPdx+NbYgjB4tIR/dqRVC9reIf3RUc/BpxJ9X9IIL7RmtIQ+4FVjIUAIhAUr++i0aRX0SewR5CBPI0RYA7ByD78moXzIu14Y2UEHBHjSGR2iQfCoHRoazN9KsktBlYo4yqKAMhsAE8H3n41YTU7eXTfoUkTIqjCk4GD4nz5rKErr2jUfCl15vu1LTY1SNV5nOmJZpDJ6pTY+F9Ujue/jUD6o9ueqC7yxr6yBMbz7D4VS61x938aFnnYEMgINPbVCpcrJLf0j1TVHU2ZWzVR6yjDknwz5eFQXPplqtpOYJGgZkwD3ycDn8c1BDbLayM8MIiLdyh25qI2Ns0hd7ZSxOSSck0qKssJ6fXu8daNCnmnJHzq2NaudRsbS20e86LRxL15FUE7+PV548f5xWd9As/G1j/Zq1pFrb2l/E1vGIsuMhRjNHELL8fpJLFprQXjB75G2btuAw8656E2aXDTFUMnrAjGRz348a9GVFYDKrnwyKTwwgAGNCe59UVnKFvsLZxmnlppFuNiNsPZgOTirkcxhukfIQL6xI8TntxUut7Y70BQFBQHAHtNZ3VI7GtIxaVC0a2oXcV/a9PY7FUZFdSRtxnHHuo7fUC2nxRTO6lQMqSeCKxTMwHn8ab6Q/gD86rYHYwa5YwKUkuJ2PmVJp640TyeCMfdSoArad6OWV9vWCDeyDJ42j8auj0OiU/7sv7QqGDVmgz0YI03d9uRVhdeuDxtT5mmMkT0OUcrbxA+eVqpe6PbWFwI7hVEpXIwobj31Y/Ts/ikf41G+p9Vt0lvA7eZBzSAiS3txjazj3JV/T7qKzRx67bsE5XHaqov1/ssHyp/psJ+taQn50bEdTam5uIFmjtj03GVywFNqVneXeny28cG13XAJYYrCi1uSJAkSBVXgAMeBUg1+fy/9zSoBv6P36RM820BFLHac4FUenbE8Tk/3DV99dmkjaNlyjDaw3nkVTW4tFHFkoz/AN5pgMIbf7U7fsVNb2cN1MIbeZ3kIOF2+zND9KtSMfRB/iGjtru3tbhZobXbIAQD1D48GgC7/R66x9WT5ChOgXQ8GqT+kUh/4X/uaX9IX8Yz+3RsCndae1mqm5coGOBkVXCQD61zj4Grd5qUN6qC4hdthyAHIqAzWJ/5Z/8AENAAbbbwuj+zViDT2uY+pbytIucHC1Du0/8As0n+JV201aKzi6dvC6qTn62eaAA/Q1z5Sfs0jot391/lVoekRH/Df9ql/SMfcf8AapbAyJYIopmjmuERl4KnwoQlt/bE+dTz3Gn3E8k0ttI0kjZY9So2fTH72smRxw9MCPp2uf8AfErQj0a7jmjlCMQhDdu9UCukkYNtKB59WtYekIVQoR8DtyKNgaaSTbButpvl2oJ7oxAvLHIkY7uw4FUP6QjH1H+YqG61qO7tngmjkMTjDAMBmpoZDqd3a3VyjJJFtCYLMfHPbg1S/qx7z23xLfnTqumJkLBNjPPrihcaY/1reY/3xVCJbe1F07LamCVlGSE3HA+dTHSrjxhT5N+dRafcafp1w09tHOrspU5I7fyK0f6QR/8A2YPsFGwKB0yf/op8m/OlV79Ow+cnxApUthRxas1GCajUVIK0Afc33qfcfvUwxRUCHDHwai3N96m4pxQA+5vvU+9vvU3vp8D3UgFvb71OHbzzTY9tLHtoALqNT9RvOhx7aVABdRvvUuo3nQgU+KAH6jedP1GodoxSC0AF1GpdRqbFLFAD9Vqcymg20sUUAXU3edNvbNNtpttABdRqXUah20ttABb2oS7UttNt8qAF1GpdRqbaabBoGF1D40uofChwRTYoALqN7aVDSoAgWJ/L8alW3kPcD9oVEtOvcUwLKWUrDhoh75VoxYSf9W3/AMZfzqsvj76KgCyLB/8Aq23+Ov504sXPee2H/nWqn2RSH1zSEXP0e39ptf8AHFIae/8AaLU/+cVVHel40wDki6T7GZWI8VbcPnQ49ppDuKc0ALB86XNOfrUj3FACFFTDsKRoAfNLNNSoAfNLd76FqXhQA+6nzTf50j+VAC3Ut9Ce9CfrH+fOgCVN8j7Y0Z28lGTUhhuB3t5R70NPYf76nurXH+0FJgY3SmHPRk/YNCQ47xuPeprpYvrVYj+t8KVgciSQOVI94oC6126+NC1FhZxW9fZSyD2rq7jsKz5PrUWMw8ilWlJ9alRYj//Z</t>
  </si>
  <si>
    <t>Matara Fort</t>
  </si>
  <si>
    <t>Fort Walk: Walk the old Dutch fort walls by the river. | Colonial Buildings: See colonial-era buildings. | River Views: Enjoy views of the Nilwala river.</t>
  </si>
  <si>
    <t>There is nothing to see in comparison with the fort in Galle. However, there is a mini pedestrian street with several cozy cafes, all done in the Anglo-Danish style. Menu prices are affordable. The spot is also known for its scenic views.</t>
  </si>
  <si>
    <t>data:image/jpeg;base64,/9j/4AAQSkZJRgABAQAAAQABAAD/2wCEAA0JCgsKCA0LCgsODg0PEyAVExISEyccHhcgLikxMC4pLSwzOko+MzZGNywtQFdBRkxOUlNSMj5aYVpQYEpRUk8BDg4OExETJhUVJk81LTVPT09PT09PT09PT09PT09PT09PT09PT09PT09PT09PT09PT09PT09PT09PT09PT09PT//AABEIAIoA9gMBIgACEQEDEQH/xAAbAAACAwEBAQAAAAAAAAAAAAAEBQIDBgEAB//EADwQAAIBAwIEAwUGBQMEAwAAAAECAwAEERIhBRMxQSJRYQYycYGRFEKhwdHwBxUjseFDUvEkM2KSFjSC/8QAGAEBAQEBAQAAAAAAAAAAAAAAAQACAwT/xAAgEQEBAQADAAIDAQEAAAAAAAAAARECEiExUQMyQWET/9oADAMBAAIRAxEAPwD6NXqmFrumt6ziArtS0710KCKNSNerpBFczUna7XBXak7XajXRQUq9Xq5Qna9XM0o4t7S8K4UCtxca5R/pR+Jvn2HzqRvkUBxXjHDuEw8y/u44RjIUnLH4Abmvn/FvbviF7qi4cn2SMnGobufn2pZweyF7xIyX0jSyAagZDq1H4mtTimpuP4gPNIV4VwqSVR9+dtGflVtr7exxqv8ANuHyWwY4DxtrHzoX7LFksunI2x5UNxKwSezkQgHbIz2pyJuOH8Y4bxJQbK7jkJ+7nB+lHYr4bDaY/wC2zpKmd1OKbWftJx7hZCRXZnQf6c41f5FF4p9bIqBrG2H8Qbc4TitlJbt3aPxitNw7jPC+KRhrG8ilyPdzhh/+TvV8IclTbods1wACvE9qKgdyXnfkw+8q68npvsPz+lfPeKW32y9llmmXXFcR25BG6o4OSdtiG7/jW9vUvIZGnso1k1IQ6AgMcA6dOds5PpSK9i4fdx3tiqKLmVf+mmY6SGx7urqpBBOk9d+u9KZuOF09oLqwSa1t5IVLK2GZRuuAABvtkHp86YcQ4xM3DYkMcBMynEpjOWHTIyfKk/tBeRy8YjvYVW3mKKk0ZA1xyJ1z6Hpt1FBxXNzxC8kuHTxvssYYqMEjYUFRJd3E1wpuAZUhGIkJPgHl9cUvnI5pA8I2JOMaj5/vzprPEEYBdgp1l8dfLY4z0/GqGjE8aC4TBY6VBPUeXpisgvIjmRY5nVHXJJ6Zr1GQqkTbaGGMb5Hl5V6tJ9L4R7QxxWYt7qZ5rqNsEYBOPiOtX3/tMIUT7PCrs5wAzYP0/WsdaccuYI1xIs0SAD3d8dc79d8UBdXazX0kpGouSR6Zo0a2kntcYlgkIjcFwssSgiRT3Gny9a0XDeI2/ELVZ4HUgjJAO4+NfGZmXIywwO3nT7gPEzw6SUFnMcgBUpvuPP5GrVK+qVAilljxy0uLdWL6ei5PnTMSRligdS2M4B3xSXMVIVICh7+1W9s5bV5JIxKunXE2ll9QfOrUv6Deu5HmK+K8c4dxzgnEfs15xG7eNgTFKLhwJAOp67HpkUFE1xI2DeznIJ8UzH86sL7sXUbkjHxrNcX9uODcOLRxTi7mH3YTkA+rdK+XaJZQAJi5Y4Cls1ZFEVQBigYeeKsWG3EvbHi/F3Mccn2WA9Ei2yPU9TSqK2LszP4t85bzq9Y8YOU+tEcsDJJUCntPpdQ8dtk6fDg+dNeCScuZ0MqqvmT2pcmNZAYbelQeU6sav803lasa8SxDP9aP/wBhUpJ7bQymeLJ83FZGGN7kS+LeMA+nWh3B5DTCQeEgBc9STWdOHcMdtbSyySTQN021jcUHfTW0zh00nGQOXv39KChTQzapAy8snbzqYjjMRfmjPl9P1p7DFE4On3DjzKnaqVERkVkLJIBu6ZXei3EOkGSQAeQ+NAXhAMaRuoZwM6R0PfvT2OHth7Tca4d4YeJJJGp2juiGBHx6j61orP8AiTaBNPEbZkkHU25LqfwrFAwK+FGrtgr1P1oe4iS3mBQMFkUsFBxgjrWd1Y23E/4i2lxC0fD0ljJxiRhgg/CsjfcWS+u5J5JfFIdROCN/gKD50JjLaWXcZJboKgs8DyeDxHfZTVVkEzOlxF/VvGZumsxYOO29DiXkOqs2tSPA69T16gHt0+FQleWQBMcvbYNnfy/KuSoVXcmMFvE5HQ423qVMLY/a1M08svKQEkg5LqOw/eKvvJY24fzEAkhDcoM/hOy9Rjy659R51TwqA3VtcQxokqqAzamIIJzgqB1Pp8arueFNFYrKsZjDKSSTjXvtgH59KZGSo3B1f0y+nG2+9cqOiFQxk1plvCAO1eoxNe8VnIXME+hiMkNkhjn6+u9CG1k/08Mq9wd/p86pKs0gRQAxOAc16MTYkaKPWVGHKjttv6b1mXWNWaG1EqiMR2IyR37/ADq+e6L3eZwoyoDaSN9qBgdGdssdYGI13Jds9Nth861thPBc2jWbWTcyMEGIFQV9ck/venFCQ3Ui2UybawNI0k7jt+8UULwQsjwXJMhQcxiCp6dPSu3vD1t7jEbRkkf1FB6egoWX7OoVhGV1dAeprG2FpuEe1bQWBiuZGkZNkYgZx5epxWq4PxFOI2aS6kMmN1B6V8oLcthJgOAcjIBHXoRWi9l+NGLiaM7QolzJy5Ix4BHtsQPwrcahh7Zcc4VdcMueHHU15G4Cq8RXQwPUE+mawlhEkUyvMI9Kgk5P9vwrU/xKghF3Z3cUil5VKOBg+6Rg/ifpSngfDZpYpZGCYZdC6hmtz4Kjh9rEbxZZGiCIpkLK3SuNHGZ3cMvLdm31f5ppwyxnHKiCQ7Rtg47EnGaRtbzDCFUBwdh6Z/SqeqjDAvKJ5oyQcAPUNCDcvgHA96qXjuYwpZMrjO1VlLlgcRnGdjqqxCzFbhyyEeH/AMh0rqQRPqk1DwjzB33/AMUMLa7mMiiMKMddXWuJaTpG0WR4uuDSBFrPJbrMrSAK6EADG++39zVtpDA9r4tJbUGyTQNnFdQSuscaklTkMc4p/YWdw3D43PKQsvu4Nc+VrcVzNbC2l0RgzFNIYJgUlxqwDLEBj8a0r2lzHAzRmAuFLY0kA1i5+a0rMQNTNvjvTw0Uzgkjj4krPIjQgeJQMk7f5osNaHiy3CxsI+SY9Kpg6iRv+FDezllJPPKw0LgDdhnenr8OlLHMy77kBaLaorP2SRgzlgR90g70q46kLtbvqIRCc4TPbanP8tlZQOcBt1xQXGbGeKxZTKGUkb42onbT4SQC2mieFmcg9DpxjPzqEXDbS1kMnPuPCMEMij867YQOZWiLlSRttRMlrdKMTyKM913rpdZUW/Dba/mIxcyrGNcrt9xf93w9KdcbsODWttyY2tra5l0x8l5QAMDOsnGwIIPfOR8huAXzcI4rLec22k0poaGWZY2fO4052PU/SiZOJcFv+Hp9us5VvYFwhyGVhnO5HQAbb+VFRFa3LcIlW84deGG6DYTG6Sp3HQ9/wNUcR4j9qOFVowwBePO2R0369aJu5obpByLVECnHLRgRjGNqCSILcREL0Hi7bjzq9SEENqZSlwVBVe25P1r1ExQzTzycmS2tx1LzTKmfQA4/CvUZRomNHY6o1IHYnzqRedIWHNYHG2k7fCqXkPLTI0k7YB2xVpNubZeVlZMdSc5+Vc45OW8fJhctEGkdg3Mycj0/flRtlOgcm7BEX3uxx6Z70tidDcJlgdX9vyqx4xPcshYqPJmyAPOtTjtbkSuJWuZGW1VtDHPibLH4mow2VxujFlxhsHBxt+lHW9lMJlDOcHoce78qcQ2ccVuUyGYk+Nhgt5Vrtjp1Zn7O6M/9U+DH4nyqjkrqZnfKr1I3zWjuLIBHMYA1kDSMZB7H5VTyuaGMmDuBn6DNXZYVWlvG4hBlYAtnINbG3hhtrI6XbCqceM1k2XM8caIj6Bggkjz/AMUz4eLwTrHyBDBqGvVklgPLPyrX8ZPOHxgTSvGfcRVGTntn86z8cDSM8h2LyMB8P2a03D//AKssg2Ds2+PLb8qUxsES2UocDUdWOuc4qlKwp/XBK+Fk3z0xVUlvqjGgDOfpRs3vKW6AfWl7Su50wgEq5DEnAFIWAxxzmNVJA0g7VUkaHiYzgKdTH03Ix+FWw2kcryXDFmLN06AdqNjijSLSsaj5Vm0hbOGNJ7t2OEKgKzDY/CmFnJALdFWRNQHu6t6pjj5WxdmD/wB6iIxnTpyPNqNWD28R09iMGsPeRCO6kyCArn5VsII2VcqSPQ1nuM20sJuWZOYHwwZe2/QimVGHAIRFw6NwN3BJ+Jpp1PnQ3CADw2ADYaBj6URgjPpSEx4tiO1BcZXHC5vDkAqR6eIUagGKH4rn+U3XfERNMTMQLGJtbFg+gblzmib2IlW0uzKMdztQahAFJAG2N+9XHl7nR7y/7j1pqJOIxkTqQMkLklj1FCjWvTTuMgAefnmmHE0CRIYwMsd6EIbSrIdRfp59PxovyVbI2AysSBvkrUjDJqDakAwTgr0oganyRLk7HYdfnXbeIzA8wuQmSW94gDGfwo1B4YVdjzJEijHRywUE/PvXKbwTO+uMmJOWQF1KAdONq9RpwPIY1uP6emUYyC6kbfDt5VyOQW7v/RR1HujUw+W372qHKyjEjGWJIqbW45ZIkXR2+FPWMY7E0fNLw26l2BGAzeH1rsBnikLxNpY5AJ3Hzz0qg4jQlCV7ZU7iumR85jZ8K2c/4qyGG9vxCVromWXZNQUqAM+VWy8UaCEEStJMenp+dJFfQOWe/iDdMVZPDOpPKG4T3tQOr4etZyNaM/nd0wAMgbQcFcAfQ1UeIXL+F5FKY8s96XMJCE07nOB037/3Jq+y9/UceR370yBo+DjN4bl7cjTlNW252p8ZceJYmGO+360g4dxeGG3SJYi7ZzlW65+NM2vubDII4ukZb3s7bj8qahNuQvCOZk7qxPzzS2XUqW6+Ua75xnJo5i6cL5YwPBgUDOwFsMnxKFWhINPJIXjAOlDgkdsmqrueKwtFlKELI2F07/OpvG6wxqpPm58yetIuJG54rxGDh1mkkskbaFjG2W7nHkPOq1QZ/wDJkjgUfZsuCfv7fSgLn2mvZMhSkQPlj862vBf4cWUUKScZdribqY42KovpkbmtNDwLgthCTBwy1jAGSRCCT+ZrB18ZTiV+fElw+/k9FQce4lbk81zKvkwzWu9oLawi4lB9ns4ZBzC0y8saTnbfI/ClXHoOESKi8OsHgllbYCTbHng9Oo6Y+FZtMoaH2guZeXynCOOoO659c79Kcx38V5Es7gAe6cZPi+nSsbdcOmgwwBbVnbvt1FEcJvZEmW1cgxN11dapfotRw+dYZ+SxARidA/2nv8qaEbbkAVl3M8D8y4Bbw7DNMLW+UIRhjlQf1/Wtyiw4ikV9QxjT5mq77D8PuQN8xsMfKlOZgdTa9OcL3oqCR2Gli2G2Fa7M4RRCJ7fIVda7detc8JjPXI671XMkXPAbQN9Ow8v3+NWi1iC4MaZIzgrW2Qt7baOEyXIfEayhSP7Um5moKQpXHTGNyMdv3mnvErO3XglzPACunRlcnqGGdvhWejKjGST8KCYsISihg5ULjDY3Hmcd6i9xyuUEm1iM5wowM49etCkg5wfrXM5yCi4x1UbVYtGi91Ss7TSxg/7dx1r1CKqke6B8DvXqMh0yE9lIdTTTqxbqYen0Nc/6cknW2gYzqQ5+lCRoVA33AyB51OVNKRrkFup3IqwLHjt3I0X0Qz2YFf71DlwhyI72Eknc7gVSNwSVO3zqTFfs+NAMjNkNn7uOmKcK1IjkyJc2z/GTB/Grmklkk1E2+/Qc0bY/4oJjEVCGEMQPeBwT/eopGrJhk7+dCFShlQE8tMDOUkJJPr51ZBbSLksM+DUQD4iPhQaRpqPgAXNM+C26CWSYK5Ea5LfH0+VKNLLhL3VpzZIJLdV2CshO2PjmiLLmJw9xIoRcLGuVIJBPqeu9NYLq5+yh+YFAU/dBwBilc99JOYoickzhT4MdMn8qKjOZsoqKCeg2peGQ3j6mP9EZIPTPap8Q+0GF1tyFc4CnG4pfw2KaO5ZJHZ7kyAeeRgf2z09aNI+W6a0t5XLgAKfDpzkn+1Q/h/PY2dzcXt47CeYlVbTnC5B69snr8qA46w+yzENnV188561Lg6rDahBIolzspONsDf8AA1j019NveJwWiIxOvV/tIobifErY8JW4N3JbxSZzIi+IDG+PKvm17OIonjiY81DswHWi0vbu9sbazblyNDGdJXqVzvn4Yq24wA4req92gtklVOYWUSNuqgbE+pzn5UVaBZEjlYBpAS+CNj5D18/lQ1wIGhjkJDXC7PHrGx9T5VxVktlg5mdgwG2OpwG+HXf1rnznKy43PB/2nnWrrJKGY41YA0jfoPnWe4jAbXiKFWwUbbH1pksUtwTbQEMXIf5D/g1Xx+P/AKzcDtk+uKz+GWT1qmtnG/Eo3keWOMDA8Y2wep/CiLjhgsgzJdJIy/cUdB60Nwg4sNO/ujp2PT9aYi2KkyHSVYddQP4V6uszxy7XfVCq0ukb4G4671dHGELLpwy75JoCF206CwGCR9KvU+Lc6Qw2x51nf41YU3EKS3WRHszHOF2yap+zxAMpK5H/AJZNNfsySal0kYfffbzoV7eJchwyNjxYY710lZpTMoeC4UEgCJmxkkEgUmhbT4gPhWmSyt5OYq6tRjJ3PpWYTlKuNYJHXNIXLKCwJU58qsVoztoIyPOqSMgupUgeWSatRG6kjT8OtScblK+xIHk3UV6uqInYkELjtq3r1C0fGihxy1OGzs7VF1JGWAG3Va80M5YgwkHPljFWiymypaMsOuNXQeorPaEMFVlIGd/I4+de0qfEoAPTGdzV8sfKYKxGTt0JBqKLJKulR0204x+ParUoVMtgjAqRUbL5b4NFNAcKCe2+/T61FYyNsYwM6O5A7/CrSq0A4bwkDrTLg6vKkqRtpDOC2R1AoZRGAAvLYenWj+HIyXqxK6xgqWOBqq1NBGl1JYxoZFVWG40b0Ly1/mlqpYP4DL0xuAF/M00QzC0RucuCnQqNhSa3kMvGpAd+TEFz86LVB7bTsWUnGw28+lK7EY4lJIj+MOcjrttmm1xfgwPGF3wB1OetJbZUjlR5VxJKTt3GaLSG9oiVDR5B1SL7udxue/72qMPGm4bAIuQsokbowBGcdDntUfaHVzbdH2Kt0Pw/zTHh3s5Lxa3jlyEizqVzjfB/f1rneWNWaco8o9puFkAxI1oXeNRhCWG/0IFeglku/ajiNpd8qez0Axx4HgI2OcbjP6Voo41t7SKDJblKFDNuxA9aWrYW0F/PexalmnAD77HHpW5RfVN37P2l7bNDzDAWJOVAOPrmlfEeF3bT4ZWk0Kq8xxsR6YrRCTfOaKgcdx/zXOyz9TGJggFpJI5RS6qBrX1oHji5nJGDnfNaHiNlNbudYyrMWBA2NZviz6nzntiqcvs47wNgq3CE4BZCGPYdfy/GnFk+p2SPSVWXvucHYfKknCgob+oyiPK6wTjz2o6J0FxzNWFy26/v4V2lYsDytpnuATj+qw2+NXQ6imB1B8+lUjMs8r6er5Pqau1EgMSM+dcrfXScV6llcYkcB/eAxjNQnuI4o2WS4ZpD0TbeqF5r6Skm6k7edL76MRuE2MjZPfYfrXTh7WOUw1gli0skbFX7LpXHzrNR2ds8sheGRgG88DP1o6GZxF4FAf3QR3FLzzFlJHXcNjvua1ynjFHpHYKmhbY5HTr/AHFdD2TJrEakeTKfr0oZGZ8tsB2I71ZJFvglcdPlv3ry8os1ZG9idhFEwG3ufqK9VGkCPHRg3byr1GQdWqJbd3VcnyWuxpG+oyOULbjQu5+tX2sdxO+qO0lde5CEirHnitpMxG5gmGDpKqCPmc/lXn4y/NZkpcOFwvMC5dQTqUsO1XrYWdtEwimmZnODjAXHwxmpS3DzjmSyyTSDYA0LqlLg6X9ART/05T4WV42NvoMYC4HQAUBNwsxoWhYSEYwjb6RTIBjvH+OTVsdpeT5kEeEH3zsPmaZ+X8inYiWGNVKOuHbt5frQcV19luydA1JtvWluQkaMY3SaUDbQNQB+NZq4gVpGZo2Vi2+5r08PyXl+zcv2bP7SlrbQEVW04/4qjgNygF1O7E+MZJ+H+aWyWZOdJO3ar+GP9lhlz1djW7fG5ymiv5i8rtHL4iWATT5etW38kkUkboc4OMDff9illwB9p1QhtRIPSrjeeMF1905HxxVo7S+BOKXLXL26v/3CWLMRuNgAPwp7wbjM3DbQQQv/AExuAwzWZu2D3yv90jy6UYikLnfFbklWtWfaq6JxiL/1/wA1E+0s7HBhiJ9M1mMHGc1K3DGVTnp38q31jOtSvH3XPNt1wOuGqcHtNCp8ULYz2bNZWVzpKnJzVSluw2q6w63je0dhPC0bwuQ3nWK4m2i5Yx+OJjt5iuIW9a5IC+3Wud4RqcqtsyEiRsZVmBIPfB/zRkskUN7mNDyw5wue2fM5oO1zqto8EqGw23TI/wAUZyAI2dsuU7puc5otMiVuV0yK2xQ1MqMAgjrQVqxka4DgajgkEY7VcDvrcjp8hXOzXSKJL02k5DJqTUc7+lCvdRXHEubKjMCdgmP1rl7qZmiUZJdceRyKthgGhoCY1dW2bqMdMV34ySOPL5TEEMKSPDcHmKQdDgAfP60BzZIrplZc5Ylh26D9aOWAwyNrIdcfDr8aEnCPeMCpLEg5U56gU8r4zY7ricMAmAQMY7H0qPMdGCzbpp2DjYHzNSYQowWV0J1YyDsfn9aizNnxAEbHJBz+decyrSjh2MOw7qu/wr1VwzyBcoB4fDuvz7V6rKW7YX1xFyZr65ZOuC/6VFOGZkJmczAnctkmjD0+VW2ozIoO4Jo6x0yKltEjAO2AO/Sll9xKxsyebdmRhvyoY9R/DYfOgf4hu8Dxxwu0aFRlUOAaS8G8RiDbjyP79TT1jN5HH854vxOIDg3DoYVzpElww1D10+XrvRLWPFb50kvp5W0juw0/IDp9KbRqq6iqgFlBOB1o07BgNt6L/jWFdtwsQqTzCCRjzxQXE+E24BuFkxIdjk9fhT5vcJ71m79ma4k1MTjpk1ceM0cuMwua1i1AaenU9a59nce6nqM9qMjAIORmrD73zrt0jnkASWrsWYgkH72/9qobhDyHIOW9T0p6gGpNqtXtR1gyM/F7OyPKJJ5FCD7uc0b/AC2M7BtvSnQGwoc9x61ueHCc2CBjoPSuLbFeqsB3zTUgeQqogcpTjfNa1F7W50+4fpVUlroffPTamS7ysDXT0q0FQjIG698URFahxtjNXy7q+fOuR+EjTt8KqgGJbO9BkXCsflU2maBhLBIS3dO376Uw4ooNqcgHpSq1VXtsuoY7dRntWOu+tyoC6d7qe4KL4jjTqx0+NTW6AB/o7btjmKcVbgFTsNiMVRcxoskelFGV7CjFbQ97zLmR2RFXoR4hvgHtVEfMP9TAXGScMO1HSxx5XwL27VXHFEYVJjQnJ30jzrUZQinm1OWZXwcDLUPfKz3Ca9Ka9K5DDzPXFFTqqwgqoHXoPSl0/ilOrfYdfiaaKuiQ6HjCxsGPvB8fhXDE4K6RGT5Fh+vrQ8AAkAA21dKlLtfTY23x/auWYJ8iOYrgqwbmKcNpIA+veu0I6jmdBsPKu1dWn//Z</t>
  </si>
  <si>
    <t>Matara Paravi Duwa Beach</t>
  </si>
  <si>
    <t>Beach Relaxing: Relax on the beach near the island temple. | Swimming: Swim in the calm water. | Temple Visit: Walk the bridge to Paravi Duwa temple.</t>
  </si>
  <si>
    <t>Matara Paravi Duwa Beach is a stunning and secluded beach located on the southern coast of Sri Lanka. The beach is accessible by a short boat ride from Matara town, and it's a hidden gem that's perfect for those looking to escape the crowds and enjoy a peaceful day on the beach. The beach is surrounded by lush greenery and stunning rock formations, and the crystal-clear waters are perfect for swimming and snorkeling. Visitors are advised to take care underfoot, as conditions can be slippery.</t>
  </si>
  <si>
    <t>data:image/jpeg;base64,/9j/4AAQSkZJRgABAQAAAQABAAD/2wCEAA0JCgsKCA0LCgsODg0PEyAVExISEyccHhcgLikxMC4pLSwzOko+MzZGNywtQFdBRkxOUlNSMj5aYVpQYEpRUk8BDg4OExETJhUVJk81LTVPT09PT09PT09PT09PT09PT09PT09PT09PT09PT09PT09PT09PT09PT09PT09PT09PT//AABEIALkA9gMBIgACEQEDEQH/xAAbAAACAwEBAQAAAAAAAAAAAAADBAABAgUGB//EAEYQAAIBAwIEAwMHCQQKAwAAAAECAwAEERIhBRMxQSJRYXGBsQYUMpGhwdEVIzM0QlJy4fA1c4KTFiRUYnSDorLC8TZEU//EABkBAQEBAQEBAAAAAAAAAAAAAAEAAgMEBf/EACIRAAMAAgIDAQADAQAAAAAAAAABEQISAyETMUFRFCJhBP/aAAwDAQACEQMRAD8A6eKrFb01MV96nxzGKrFbxUxVQhipW8VRWoTNURWiKrFRGcVWK3ipioAeKmK3ipioDGKmK3iqxmoTOKmKsHLMuk7Y3xV4oToyFYqYrWKvFJGcVAK1ipioisVYFXirxUJnFaxVgVYFRFYqwKvFXigSsVeKvFXiiiUBV4q6lFIrFStYqqiM4qEVvFTFVMwHipiiYqsU0oDxUxW8VMVUgeKrFExUxTQgPFTFbxVYqpQxiqxRMVWKaRjFTGN+1bxS93KkRjDmQBiQNAyc42rOWWqo441wtCCzLqfIbOkjbpRMUoZNRZMSkAZ8JOennXTnTSygDGY1P2Vywz7h0zw6oDFTFaxV4rsczOKmK1ipioisVMVrFWFqpFAVMVoCrxRRMgVrFTFaxRRM4q8VeKvFFIzirxWsVYFFEzipW8VKqRnFTFbxUxRTJjFViiYqsU0geKmK3ipiqkDxVYomKmKaAPFTFbIqsVUjGKmK3ipiqjDGKWuF1XdsuD1J+ynMUpKrtxKEZIRVJx5muXI+jpxrsYxhM+/AotwMtH/dr8Kwy4VvPHetybrFg58AFFmaNe8WBxUxW8VMV3pwM4qYreKvFVIxirxWsVYFFEyBUxW8VeKKJjFWBWsVYFFIzirxW8VAKKJnFaxWsVNNFGGcVK3pqUUYVpqYomKmKKYgLFTFE01WmmkDxVYoumq01UoD01WKLiq007BAemqK0XFViqiD01ApJ2omKmmjYoDVc1yr2E3PE1iWRoyFOSD0G2frzXWEQVy+pySNwTsPZSsK54hIc/ve76IxXPPvo7cfTEjweRgS9/PkkmuopLW8QP7K6R7qJp61iAZg9hoixyUFZN4uk0+VTTRAKvTXenCA9NTFE01emilAeKvFb01emqkDxV4ommppoowxpq9NbC1rTRRgPFXiiaavTRRgPFaxWsVeKKMMYqUTFSjYYTTVaaLpqYopiAdNTTRdNTFVKAcVMUbT6VNI71bDAGmpij6VrXKU9CKNh1osV2yeg60CC4huHZYSWCnBYDw59venXiRhpcgjyrEcEcSLHHgKowAOwp2HUFpqaaPpHnV8v2VbBBVg4ZQqFsnc56UlZxLNNJIy6hqZv+r+VdhfANWkHvvXnraLiE2EtLqS3LBpPEARpLEAAVjLLs6YY9HY0HI2770G0QmNh1wR99LHhXGicjiuxGw0Z38+tO8MSRYRC4DSKg1PnGrc1l59o0sImb5ZqaKc5Mmeg+urFvKQMBfrrp5Ec/HREDLaRV6aJFbzPJrYphiQAPTNSMl+ISWYHijjDlvaelXkReJmNNXinfmbd2FT5m2cahR5MS8eX4JYq8U2bVgcZG1V83bvT5EWjFtNXijcr0IrQhPmKHmi1YuBWsUfkN6VYgNG6HRi+mr00zyW8qnKPcVbloAC+lVTPKHepRuOhnSKvC+VTFTFZpqF6VPbr0rD9dMaaj59hUdC4wWIHfHetDYY7UdmuiBEA+iM96hCjqKvUPI1RbzBpKIng/dGfWsrkkAgHbdsY91ZKnmKRnTnJ9aJkZ6HFA9IhRf3RQ5Y9cRVWMTMNimMj13BrZwR386gUFtR64xUUQKKAxxohYuQN3Y5LetZnil8AgMY8QLF1J8PfGO9HyASxOD0qsx6wxcZB8/686qUQOZEjhZg2NjSnDkxpx1+bIB7yaNxB0WymbWMqhI374/nWbQKj+JgAIoxn2UNikgPFOLLYQB8B5MZVCcA+/G3UUtbcWghtfnc4KryssFGSMua87x+Wa4u5nihyqsFGCB4Rv8AhUbmngpJBBNsucY7Mc/GubydOixPTSfKXhaTaDc53wWCkgf1v0qcQ49Zx2cot7nXI0YKcs569N68VPbyMmdDK+xJPmQRSMdlLCHLxlCdwuPt+ois+Rs1pPR3DxTiPMuIobqcsIpSoDkaWEZIx765dvxSZbkyLdzM4GGmEh1E9zmm7SNzxIsIzpOpCT2ypHWuVcwyI8gkhXQxyrKN/fXNtm02dNuK3hJI4jdEd8Tsfvru8H+VNrY8Dc3dxLLcLKcqQXYA4wdzuPf6da8DfCQqND6iuxAHT30xYC5aEAqMMf2utKc7DLLbo9LcfKeW54vb3kUk0axJofQv0u+cZNesX5U8LkRgl1HzVHhDHCswHQHpXzb5uUAXox3wOhrEkfNlV16geJO1HkZzh9R4FxNOJ8PhecwJcsCWiRtx7q6QWM18ftLxuH3ytbtyj12r2vDvlfAQsXEUZH//AEAyPfXTHk+My0er0L2Y1YUD9qgQzxXESywOrxt0YGtlvWu0M0OCtX4aW1etTXRqWwz4alLF6lWo7HP/ACzw/SG+cjB6eBsn7OnrUHGLDAJuAM9Mq2/2V5z8l31xEhgg8OB4jk5Pf7c1X5Iu2ABibUmQfD3raaZjVo9C/HOHIBi6VmJ6AH8KocdsGG01ef8AyXexjWbViqHJz0H2USPhV7LKrGLEZAOcelDyxTLVw7y8Wt3dQksZBBySTt09PWoeKWxX9ZjGQeqsQfYa4slhfZ5UVs4UjHh2LbjPsHx7+ip4NfNEDyGAUaSCehyfxrOyNas9A/F7ZYvFcrkDcgdD2qfla10nF0pxtuw6+6vNvZzBnQjBbBGSBjrRDCQTKzqCP0YOTj1q3RaM77cRtxFoa6jV9PQyZPSsflG3KEi5j+i3xGK4IgV5RIWldidWF+ujrZkRFuSSM4y3c9hWXyYo3jxZHaa+s98XcTEtthhWlurZ5TidCDgDJ9n865RjhQqxnQIrH6C9h1NQCPVpWCR3bSq6j3zvsPTt3OBWHy/htcf6M3lzE9iY1kQs0ePXoKp7qYwn5nC0hKhNZGwIHl3pGa5NpMFlkijBBBESAkkkEDbpgbfXXOn4hJrbFrJJIc4abLbeW3b31jLkZtcaNNZTuS17fRvIS2emNwAcYJ7gn308baOLhwiklIQQSKWOwxqHc+3yrzr3HE5VfmGSNXOWWNCv8/tp2O3uZ7e2wruzWdxGWOScllI391ZTo5KGp7/g8O0vEGdcjaMa9vPYHyoK8Y4RIxPNuSem8f2V5i4tbuOVoZoJA67YIqrSGUSh5YG0L5jvWtA2Pa20nD77iERhuEWXWDpwQW37jv7q8tetNw+eS0OpmRyH1DcHO4pu2uW5uqFFLoNYwOuDj76Q4xzH4tcvbo+hmBXw52wPs7ewUQvgWK6aQtzG0jBG+etMLHdcsycyMAbk5zv6VzbZZ3JZi/gGcMNjT8U7QxrDyxqLZbbYijLFr0ZRuV3totcsikF+q79RVo55byIMlRgFTnVv0+2rvbcXlvyhb8tlbWNI2O3ShwR3cNuIhHqBIzg9sbiiVE0S/hQiOZB4Ponb6qKXDQasboNvUe2pPFcSghYlXO4B69KuK0lRNOrCLjGwOadW0EPU/I+7EVu6XDcpSARrcAD669J8+s/9rg/zF/GvnUKXSoUALY3yceXlSim/t3AOsjOpcjY+hr0cT1xjObwPqHz212/1qD/MX8anz207XUH+Yv414G0kuGUm6WPxHwlFOwx/X10xpRxlHBHT6JFdk0zi00eyk4lZxgM11DgnH0xUr5zxSKUuhjzjFXWHyRyG8caqfReGm8lsQ0OdIZ8FiP3jQxey27ScyaNGLkncV59L2YIkBcnIZt2O/iOe1MQpLKPEpbHRVO7e3bYV5/IerQ6VxxJ5LWQPO2k7ZxsfMUGPjckMKJE2lQo+l16UvNZT6lN48EGoHQpbB2HYdaq3WyKq8sc7gaVJwACxAwB5+pxisvN0dcUgknGLuZ9QuCD0GD0ocUN/ejwa2ySTqbbrWIuKSwTxBbZI1uXMUMZgIKYzl2JJPXAAGM7ntQ4pJ0OUDO8yKs7sWQjOBtg7HJ6dfWhtougnLjikk+dTjEYOoR7nIGSu/oDVmSB/CkDyTygMgLgkKSPEQOnXb0FEcWkVwsbFWghzpQMSzEgghmPXOSelLGR1llltYY1klBEkjNqZvMb7D3AV1x4ssjnly44jENxctGkkC6YkYR52TUdssSewGaUFwqyS65otCbxHOcnYHOe+M+yhyQ3FwuZ9TZ6nXk0JuGQEgsTt2Irp4F9Ofnb9DZ4jYtK5i5YLDGMk7DtRXvY5DrBOcZBLYxjypOHh9uDhQre/NMCwhz9HFaWKRh5Nnn7mQ3EskwbGpiRv2rUDttqncE7Y1ms8Usjw2bWoY28nQn9k+VIC6XPQEg/ZXkyx7PXjn0dWbmDAFw+/k5rt/JOcRcZjQyk8xSoXV17/AHV5aG5TAB6gYrqcDdIrg8RuZOXDaZIIO7MegHrXOGm6js/LK0jPGVlGMyRLnzyMj8K81LaxPt4jvnGa6T8RXiU0lwpLEnBB20+41hkDEMgGPUYrvZicGnRCKxXUpaEHT0z2puK2tY31i2ZDjGYzj403FGrDB0/fVmNRKQUzjYgL+BzTikXZizgsZLkJLI8WoHxsu2fKmDw2xPTiMC4Owx1qoAoRgoGFGSNxn7KLyleImNTnO4GCD+FbiM9houBwSeH55AzHfc/zoo+TyDBJUjP7JzSYt+WoZ4Rk7A4xWFtMFmOo99StjFUIffgcRC+AhsdVUb/yoX5GGjAUMB1oi3VzGQI7uWPSACpCkfAUf8o3y40TQNuSQ8Wx+qtJAwC8LjA3i3/e1bUX8mQg5MOd99zW1vbnWeZBG2+dJPh+AroW9/ZzIRCkTOPprGdQpbgao535Nt2wFjZT33qHhluBp0kU9LeW0KZeGTCDqo2x54rz1/8AK61jkb5lDzQv0talc+gyPtz7qNkvY6nQk4LbTNjSNuxBNSuNP8o+HzxqXnnj76I8Bk9M43FVTsh1CTXVokSwDQbgM5TO3Rjj/wBUst/dAPHBftygmGPQ7/GkzZ3XzdlidbhzITgLjST6k4PurUEFwtpKhgkN1q08vk6iw9D0x614o6dXWxy1lj0IssnNijGYw6kkjCnAHbdBv6mjXEtpJDDc3V/yyqDQsYOpfT665Frw7ik2pOVo0gprJI6fsjz9uNqBacLu5ryW1kcRGFvErdWB75pTjCZHTu+M6kjngkgFxGow2PEdjg77ADrSlk8lyhi5q8yQAgMc5piThL/OUmnSIQpgOuM4QDbV2z6V1uGwPbGczpGitJqhCgZxjp9dVTfY65GYuHrHEomOpwNyu2a0bUZyskvn9KnTMoIaR00k4B1AD665F/xNhcyLFoMcXhIBOQR1Pr1r0fyUkYfEl2XczC2K/n5PMjVuR7KzHdBoFOt2c7EE9fXHl0rmXLrJAJhiSQnDEEEnJ3xREBF0kgV2EaBXGkYx06j0Hfz7Vwy/6MrUZ1R1hpYao0OD3V6gDDIDzY/jo1hKHjVHjG3lTZCaMtGB65xXfj5HkumOuP4clreG6zDcySgOcbsCKCnyZ4KsrxSyTswHhZZTTNwG1+AAeyqRLg4xgeRbtWM8232dUlBZPk1wqOUaJJ5M7419q6ttwez5KoIQQu4Dk/X7a57cGnluOeksgkJ8OwK10bCO4gdluru3kcdBqGT7QDWemIVOB2MdwJNBLY31ZIx5evvqSQw5KJAqRrsAF60w15BEQJrlV1dlO5q7i9tG0FIsnG7OxGfqrShmiJtYi2mEFiBnpvR4rEJG0kzlG7AEChtes40i4jRRtpjBFDZf2mlkz/Aa1UQaC3TmO0mc5yCDgU3zIWkKxLkg42WubzY1IOk+EZyw/nUa9Gk6UA9QKagg8Il5uVLIF3wpplwjIESLQ53zo1D7a4qXMjPpXq23TeiG8eEhWuQpc6VVc+LbJx7hVsWp0jZq7FpDjP7q4qRcP0EusYk/xYrmLeFHDJrY/vE4pmO9lJDaAcf7xrSYPEdMCNGMYz3H71cHi15Jw6HVZ8NntFUgs5VdJHsBrtRXIOdaAH06VnigHEeGTWcmMOvhOrGD2qy7RmHk4uIzSfJydY7kpKH1KSxLHGNh5dDXLhcTQ6TvLLszEnJOa7k0CcIgiWKCA3PikcMocug2IBxttjbO9cgcriHF3jt+XA8i+DVIApbr1FeZ2QoIC0utTrytJU4IYYqV2LmO4/NrLJzHKZLg+4Dbr0O9SsPla6NU6c3EuERSYlZ5sZYiRl0fVvt+FYPyinuAnJhWONsjGABjtv2rmFrNzJIwLR4UNt0Y/hUEgWF4FVdKqSx+kPs6Gst1E82G/KNycYxHHCu+lcH25288+XStRcVDTM1vGiyGMAGQ5P1Uktw8sJtxFkxx5XU2Bp9T7d/bUWK6kGtpY1KHBMmNu+dh0qiCseuOKXK2LgPFIXTxlVON+uQfTIpb588zmSRpCq/SJIxv0GPuNJzGeVHRykav4T4sKOuD69PtpcQwwFxI4IfYMpzg/ia0sUOzO1GlpMCS5jAYM5AUKfIY7e7HegyQN83cEx6WbrkgAdR7KDDHaS2DKs3LcYOp19DjGPtq7SaOZhaxOzMmdGkbPk7+vTGKxABzSzW9ueZMo0rnwevQbbb1iG4EtvGjF432CoGyrnJznypiQwykxTDSqkh9Rz4selAuLmGOGC3iCHlDKg/Syeob16Vv2iH4vzBIndFKbMQNvTr1NdL5xPHEjpJgdzoX4Ee2uDc3aJjATOgBgGyM4o/5SPhbCkEZLdcDufbkY99c3jl7QDvEWv5rVJo7o8qQ6QqEL79hmlEeZFKTzMCoGUbOM9uvsraAtIo1AMhDaeh0noTmjTvFKClwcEMAx7kHtirfJdMhVjM+kM+cAg5HXuO9XHqVRvqYdRp9OnrVS4S3AKCRQ5VSqE7eVJm+VcCMuu2dPb3GtJvJdEOFdJGjKKW8WkkEeeB7cj1qyRJEcNkEkkBzv69RXPS9DllCGTJxuM+VRZjIFiSAtpPTTTGR0FXQik6mXONzuvsNRblmMqtICynwlhuw/wDdAWOXmohZEAJ2J3PuFaNtKkmoSMc7KOu3pmgg6ySqi+AYwAwVywplLmXk4DHXuCQRg+zOa525bKToFXuxG1LjnOCOc7Efsxn7fjVGJ07qW4SANzLgqMZ0nt5mmIPlA9tbsjxc0rjTle+OvT+s1z5LjQyIWYYGrvuKuS4njdwydejJv22GKKyo/wD6VaVYyWkZPounHtoA+Vz80s1rFoJOAD8TSwuFbVjSp0A6WxV8qCWMNJCjIQNlX3kVreex2Yz/AKVTvIGW0QR9lyc/XTMXyoQ450WnT1w53rjScNRkZlkZSCTgYOR5bUvJwufCkTKxOzDoR7a1v/oU6t/xUXdtKXlfmkf6tBGfAp82/eYfZXBtrgZLMMMPF5lq2eGXD4IbmBdjpP17US3t1GpNSnVkdNx7q08kXsClxzHeO4d2TqDncY7b9t6lBkQROUYHIO9Snpidbiax2zGK1ZELgMV0tnfz7Z923SlknmFuskjKBGwKowIIIOe3nRBbXj3DvcHxEFvznXbv60xLLJbxrKVyqtmKMnYt5+dc10oZFWup5Y5JFjCtL0I30g5OnPn1OPXJ9HnlaOyRWDxh1yBLjDdzgg9/WkLUSSXcFuxcmVGcqGO79Nx08unsrqFDAxjlZIk5RGWBOD5bd6MhOTxB2uLeAQW7soRWyqnKf7oPcd8/XQorGbVFNLDK0ROti7aAw74OPP66dWRpGLJri15XnK+FUY706lrbXVnFbqR+bXHNDdz3xS8oAlIIv0cEKbEgJJkZ69x/WcUtbSyLDFAk8iYzKzbbsMjA6eVNgXFvDPEpDxsyh5PLHTB8utKqZVuzAsEWIwwHhIBPtPu/o1L0Rq6aKefWrnMWC0gQjmD2DoSe+a3e3DQxL+dMiOjB3mVRjLAtpA369tzselHBRFkjt0BkYePU5wrd/TvQ4eEM8dwglSdmAIYAbnGe/Qdd/QeVKaQnMgMofFsgIAy2F3ZT2JpgXEcsWl3MbqWdVY5UHyI79PxBo5S5trWJ2gSYKcBgQSB5HFJRLHcXxDyfNs6ic9Nu1atIfvI2jlVonZ00rzdIH0yTkDHbp0puFbokrKhWY4G4UP3wAw+HnS1svLbWs0m47MTg9hTzchoFkOsMQWPfB865ZMgqXECLjJZz+/uAemk+/r7a0xgJdJYIIG6gopYvnsfL2UmvD7mdWjWNdCoAj9MEbjJ8zmhTWE8kEbQ6VKAO4Y4Oj7xWdV+kxiW4hK8xOVqUAk6SCM52/wCn7M1qFnlXns5Gpcb+Fff19tKyWSJZktrMgCaMvkAj6XqB0x7a3cQQC61jSSMaWZNIcY/oe6mL4BmS0l2kMqsuCde2WGPbv7c0UwuvLBYgBQCdWxxj19aDJJlWSKNlVm1HlrqCbfyNXGwKx6Tp7Myrgn09auypd0HRlRGjYEaQpIZcntnt6UG4a5W45sCjxnwADI88ZplIVLyKVVtQyzH2gffWLkzJbqsTDlDLY1eWBt6/GkRGR7iX8266sHPlg/fWi11JGzqokI05GsH2ZGc+dR0nKcwRx6PXxYNYa4eFNKKsbuNyOq7gfaNX110IxO13bk8xdaOMkrjC+8VaSTJbAhxsM9Mn+tq3bcRbT+eTfVnAH1iqubqF20yRFMDA3+yrv8AMt3NGBq5Z0ksUJ7+331c98Ta6wq7nBQHGfvrAnilUCJRIDuVc+nnSbQOjgaipHZt6NV9IZfiEjysWVdwFbG2fXypbU+saGBPXI/lTWqEPmIBvCAFPQjJ3+FKzqhusGMbPuqnIIz2rSSFGGl1MWYqx6b5qqqZUHiGUydg3WpTCPQxNcLCUjtJykDFtcm5K9NJHpSUVxcWlxI6hYZJcABzkL+FP3P6Z/Y/xrmca/WW/hH3VlYohmS6ygeG4bJdhrAxk42GcZ7/GiqzXSujo/NCnTzjgN69fSgT/ANjQ+w/ChcG/T3P923xrDXVJhLiGWzVCELtgswTJUHHbz7b01ZrzoBJpwP2dJ2ZepyfSiz/2fbe0fEVOE/peIfwfcKw820X0XveIJJDI0Txq0WCi6c6/T0656UneNcrIs8jmRJ0GNI9N8+RGAK1wv9ZuP7iT4Ch2/wCpQ/4/iK6LpwAMNzFFvGApPibG58vcK6tvdRzwSIRoBGVYITsM51Hrvq6+yl7b/wCHXHtb41zuE9Lr/hpP/GppZU0jszTT21wjrbKzhAGwwK7bA4zQbvh/MmV+UIlK62fv/OpH+st/AfiKcuv0tt/B/wCVZ9NActAcQwqDy0bTqVvXc/afqouqYC4ksxm0dhGpO5OPLPbfepN/ZEP+P76xwr9GP4H+Fab6oGFvGECRSI7aNerSxG5PftsaabiFlljFdXEbxBAgMeNXn7KM/Sf+6P8A3VyeKfrR/gX4Ur+xDpklVNTKR4gxBXrqx1PupuRibOSa6T862FjJGwHnSvDf1J/+Jjr0fFf7BsK5v3DSxpxbW7WJFZQy6FOptOBJt3+uokkMjyRoickya1UAgbjOPhWf/sf8lvhQLP6S+7/to90zDd0IVaNlJkTADkfsnoRmh6C2qEzkJpJIkGSrKOm3rXYT+y4vY9cu8/W7r2TfE04OuD8otClzHE8rMQkZChR4hv3OO1H0QXsDgiMM4CpqP2j3A0KL9O/8A+FIw/q//N/GukpGbq0ubUjmDw7jOcZHnVQ/pAdcTLnOtj3x3HlXT419A/wCvNv0PvreP9kR0WD81WCqurxeDcetFe55dxG7ssrR40k4I27EdK5/Df07fwH4VT9aYUGmkjMmUOlicjT03qxlpTJlR1OCfxpSL6aeymH+j76YDDB1ZslR9HzqUuvWrogn/9k=</t>
  </si>
  <si>
    <t>Mayan Water Park</t>
  </si>
  <si>
    <t>Water Slides: Enjoy the slides and pools. | Kids Pool: Let children splash in the kids' area. | Relaxing: Relax poolside.</t>
  </si>
  <si>
    <t>The mayan water park is a great place to visit on weekends because the price is a little lower than usual. But I think they should include more events. Overall the wave ride is the best. It's a popular local spot for a refreshing bath or swim.</t>
  </si>
  <si>
    <t>Meemure</t>
  </si>
  <si>
    <t>Lakegala Hike: Trek to the dramatic Lakegala peak linked to Ravana legends. | River Bathing: Swim in the clear natural pools of the Kalu Ganga. | Village Homestay: Stay with locals and enjoy authentic village meals. | Knuckles Trekking: Hike through the Knuckles range forests and trails.</t>
  </si>
  <si>
    <t>Meemure is a remote traditional village deep in the central highlands of Kandy District, accessible mainly by a rough mountain road or trekking trail, and often described as one of Sri Lanka's most isolated inhabited villages. Surrounded by the Knuckles Mountain Range, it retains a traditional way of life with mud-and-thatch houses and is a popular base for hikers exploring the Knuckles' forests, streams, and viewpoints. Its isolation and scenery have made it increasingly popular with adventure travelers in recent years.</t>
  </si>
  <si>
    <t>Meeran Mosque, Galle Fort</t>
  </si>
  <si>
    <t>Mosque Viewing: Admire the white Baroque-style mosque. | Architecture Photography: Capture the building. | Fort Walk: Continue exploring Galle Fort.</t>
  </si>
  <si>
    <t>One of ancient masjid in Galle area. It was built in 1904. Architectural view of majid is really very beautiful. It remains a relatively quiet, less-touristy spot.</t>
  </si>
  <si>
    <t>https://encrypted-tbn0.gstatic.com/images?q=tbn:ANd9GcSXquwC3NX7G-v1Gdv4SlI4lWXBC4429JDSjJ4ap_quzg&amp;s=10</t>
  </si>
  <si>
    <t>Minee Ella</t>
  </si>
  <si>
    <t>One of the most beautiful waterfall I've seen. The road is also very good and very easy to find the place. The place is really nice we spent nearly 3 hours hours there. Visitors are advised to take care underfoot, as conditions can be slippery.</t>
  </si>
  <si>
    <t>https://encrypted-tbn0.gstatic.com/images?q=tbn:ANd9GcQdYjuiTeuggmc5r4ngcUpMicrzC3tib6uLOko_BFBKVw&amp;s</t>
  </si>
  <si>
    <t>Mirijjawila Botanical Gardens - South Gate</t>
  </si>
  <si>
    <t>Reasonable ticket prices. Electric car ride available for rs. 1000 per couple (rs.2000 for 6 people) for one hour.</t>
  </si>
  <si>
    <t>https://encrypted-tbn0.gstatic.com/images?q=tbn:ANd9GcSAHqtjzZiwZ25qYOrwwkeWJkH5XX77TOSuRfiI6d0-xg&amp;s</t>
  </si>
  <si>
    <t>Mirissa</t>
  </si>
  <si>
    <t>Whale Watching: Take an early boat trip to spot blue whales and dolphins (Nov–Apr). | Coconut Tree Hill: Visit the famous palm-covered hill for photos. | Parrot Rock Climb: Climb the small rock at the beach for views. | Surfing &amp; Beach Relaxing: Surf or relax on the golden bay.</t>
  </si>
  <si>
    <t>Mirissa is a small crescent bay on the south coast, renowned as one of the world's best spots for whale watching, with blue whales and sperm whales regularly sighted offshore between November and April. Beyond whale watching, the town has a laid-back beach scene with palm-lined sand, surf breaks, and a lively strip of beachfront restaurants and bars. It has grown into one of southern Sri Lanka's most popular tourist towns.</t>
  </si>
  <si>
    <t>Mohini Falls</t>
  </si>
  <si>
    <t>This is a nice waterfall on the way to Adam's Peak from Maskeliya. Although the fall has a very nice view from the main road, the water of it is said to be highly polluted. This is because the water stream flows through some residential area. It remains a relatively quiet, less-touristy spot.</t>
  </si>
  <si>
    <t>https://encrypted-tbn0.gstatic.com/images?q=tbn:ANd9GcQnmZW0myfYag3WCthfwUyUU_1rNZF1fMt7BicXur36bg&amp;s=10</t>
  </si>
  <si>
    <t>Moon plains</t>
  </si>
  <si>
    <t>Jeep Ride: Ride across the open grassland plains. | Mini World's End: Enjoy the cliff views. | Photography: Capture views of the surrounding mountains.</t>
  </si>
  <si>
    <t>360 view from the top. One of best place to visit at the Nuwaraeliya. It is not much far away from city center. It draws a steady stream of local visitors, especially on weekends.</t>
  </si>
  <si>
    <t>https://encrypted-tbn0.gstatic.com/images?q=tbn:ANd9GcSYHiKQXWtAJfLjukoH6Nb27SLmODz80Kteo0DJrrlkyg&amp;s=10</t>
  </si>
  <si>
    <t>Mooray falls</t>
  </si>
  <si>
    <t>Mind blowing view. can watch Gartmore waterfall from here. Roads are not good. It's a popular local spot for a refreshing bath or swim.</t>
  </si>
  <si>
    <t>data:image/jpeg;base64,/9j/4AAQSkZJRgABAQAAAQABAAD/2wCEAA0JCgsKCA0LCgsODg0PEyAVExISEyccHhcgLikxMC4pLSwzOko+MzZGNywtQFdBRkxOUlNSMj5aYVpQYEpRUk8BDg4OExETJhUVJk81LTVPT09PT09PT09PT09PT09PT09PT09PT09PT09PT09PT09PT09PT09PT09PT09PT09PT//AABEIAIoA9gMBIgACEQEDEQH/xAAbAAACAwEBAQAAAAAAAAAAAAADBAECBQAGB//EADsQAAIBAwMBBgQDBwMEAwAAAAECAwAEERIhMUEFEyJRYXEUMoGRocHwBiNCUrHR4TND8RUkYnIWU4L/xAAZAQADAQEBAAAAAAAAAAAAAAAAAQIDBAX/xAAjEQEBAQEAAQQCAgMAAAAAAAAAARECIQMSMUEEURQiE2Fx/9oADAMBAAIRAxEAPwDzqQOJSc+EnJH5CqhtILDSdLZ51VcZAy2pMfMMdelQsZ/31wrZGMc+hP5Vh/1AqDUFKuCueV2H3/xRmtEMJCnSxPX+KhCJULaFAzucnbjjFMRlYl2xg4zvztStwamJQ0YMqJHnlcYIqsi6X0/6oY8fy7dKIHVhnc6uQM7VbvcJljlR99qW0tJImlgrh0kYZXI4286KJjC6yuMhOR0PpRL4ySp+6QyRuPGSdhWf4YhJHC+sFiNByVYY9cVpz/aBrCYXQEiHbT0GwHl+NVaFpUU4IPUAYLEdCfpSNlNBFJpRZFJG6McjPv0rQtJGWJhKyg6dQwSevVuM05/UgIlkDTmLwS+FtCc42zWrYdplnKSHSqthXOxyP80mNR2VQr9Cdwwx5mhvbwm5JWQg6gWUqOfLbpXT6fqZdhdczqPpdgxeyjdnLsw3J86Yrw69qXIQfCyyIh2IQj8+K0ou1u0YoI3J7xW6SDcY9etHXPnYvjrxlelI29KEzb6FI1YzjNeY7R/agN2e8CRk3EmUbOAFGOnnWCl+6OzuZEkx4CTjBOx/ClORe3su1JkWxmR5lDFflDYP4V5ntbtpJbO1jtyyTQHLE7A+VY015I7vhjucliclqSnfUxCjDHfmtEXrTDyg6ywPi2zq6+dKyvE0XdJs5bOSelDeJ2wuc/WhO0YkxglhtkUiXELN/pQlgdiOTWjCi96gKuwUY8R/Klez52SRo1YxqSBkY2x5UyzRGQiOUbDPAO/U5rPq2nBbpYHU+AEk86t/16UC0cRqZB5HB04+v5VFsrd/oMiOMZXybzoSkR3csk6nXCPCOVyfP28qi/GGEpSa8YSxO5kbYasY9TTcdjElsuv95pOWwx8Z6KPT1rFnnmmuVl1sz5wBvVZZrg/9uWJBIOPX6UYZztG3tVUMgVZkOlkQ7A+tZyoTOolBEZOWGN6ajs73uTm2bSWBORv+NMgoshhmDCXA0sWGEz545pbhoQq9nMbWFF4AO29Ta2LGUtNGzY9Rhj6Gn2gjhgQK+nR8o2OfUVSa40QAd7nfB8GDWd6JVbW0aRiYQDwQScV1WjkE+cEnHkK6p2jHaGkHi307aQDn7VYue7MIyveLkDVup86urGN90DNyNgMZ+hqLq27xDJEmhl20kgA560SRRcFI3DSxqSR85OMn3Oxo0cDyLqjYRaRlVK4wPIZ6b0hbMtvM0jEvIToBXhT/AHNalm8TMY2dXZSMKcEZ8v0aq3CXi0EKHLeH+LG23NMO4VfDoTHi3GM0i16h1FbYaw2goRp/H6f0pwOrHwiQsRkgNx7Vnfklu8t7hHjj+VgMjGw/tWfYdmRo+LiWQPnSvIC+e/HlU3SyWkzArqV1wpOxOfzoka3AhcFBMXI/3MA7c9a0nieKHLBbgpHLCobUAjxbalPORzn7UygNttDGwCyaGBDFSPPesmeaK1lyIWWRG3V22459D0p9Z/ibXvVXRIBnVyDkf5zTwaa0wsrRj+EHwnYr5bmquI4ljugTLpwjaW352/EVkWRkkmLISoA0gc7kYrSXvHik75VODg4zz/fIqswU32XcRwXbiFFwTq51Dn0py77TBvRP8HHJCo8UW41Ng5IA6V5y0mubGaZJAGjXLh2Q8ef69aZkvxcWshg1agPDpGWO+ePfrWukTN0TcSTaVjaRs6MkBRn70UJ3sIYsiDUxGDkmkjC8jl5ZlFT3sglIysox8x3xVpc6vHJ4GBx1BzXCYlGL5YjbmruFTH+mT109PSqlWZhGEBJOQAKNHyosrM5OjCj8KIsUTuTvg8DGKPBZzuuCg0rkkZxQ4YHbdIiQOTqwB71NpKmMAh1XCJsAByatEkWCJnGpwfF0GfzrniuNGGTEZbGTv/SkTIIpfETjIztzUqbdrcW8cbBo4pJIgMOOSvnt70t2hcK8RFmiqm5bGcg7Z+lLRzGO4WS2jxABlg+Mk/24ru0LyN4lihVQW+bSef161P2bORyjgsoZeoxRrAd5dNcSeJYvEFAzk9BQguqQLuoJGphvt51oW0boEhRS2tyxYbZHGqjq5DGF/PLM4mYqjHZdtvIY5o0Cic6EhVk+UFBnYcgn+9EkjLGNIIrd40P8Zzj64o8ZW0l7mMr4t3O5+gx/asqCN98U23w7OFOfBuB5ZP6FLPbDCqkuok/MBk6vbitGS5AIHzBhpxwQPc0FLGeR2ZR3Rz4jnKn0A6+9Rzf2eFJZZLcKIdttyRufcV1GSyuFYLFe6cKDkr5k7V1PwZ4LM7GOMYRfC2rbB9KNDGwGGGgEYKsM5oYaRIjJIMKo6b/h+VUgudan96Bg4Ck5z9Kmy/QLdp2LrMs9oiKxGPCpGc+e223rQLVpo5THNFAhRQc8FR9Oa1ZDJNHLHkZP8Q2GcbVhv2TdQt3ksihf5jgg7eVXxdnkmjeQGWcyJM0blwXaMkHGMce+KQuVltJI1MhJI1aozknzxWgHMs0cbSMMKDnu85/sPWlpXvodFvKslukbYjmDFhj3q8B62uHi/dMGZdBK6hs3XzNFbEqhlRw4O6Rt1+uKy7uK4tXjnjcTI3zMGA3z1B9MVd+0UuLmFYg6PHlWGNhnf9dam8/omtPPdZhFuwXKkMJCBv02/X5VlXAuIlkl0KCEbZN+eR+JrQdknYKY+6lXxKrD5/YnrQ1nuREnfZLFsLvtvtRzQyraWO2tgzhlbOV8uev2zWjG+p9bLq1EDGd8bn8xVO17Tv4AIkjWVNyq8sPzpW3mksnaCaRQx8QAbOfLxDOK0+fIbIlRspI7g4BIPQ71MMUUSybuUfdydz71nlobm3EyMsRGzqQR4fLPln7U4tp8XbW370MUx4A2Aft9KcEad7+zvZ03ZsN3YLMFfZ0D6tDfWsibs42VuziUFRuFxjJ9TXr+zYHfsua1XVGsi4zjZWG4x9+teMv7xDE1sUZXjPXfODWl8KyENJLhxwfmooR2U6CApyNjg0AIZGGhc56DbNQ3exuI5JGxjODwDSZYfimt3jNoEOpUJWVjgE+u+1MWndpbvEXVXflg2PsfaspIVJ1PIpIOQMDrjaqzyssjlRwTgAdKmg+srROkayGSNv3fgPUdcCsN2LyldiAftRbeYjU+llfkeQ9f61zROpBaMoTuAfKhRlJDPam3Mrak8QGPCuN6bh7NtHiV45S8rR8IQPFWYiMkLY3aQ43G2B/WtWzlVFikuo1mYtpAH63qexGSYZ1R5RHkcam3wa1ezmkhskZ4Y42YhQ+2pl/Km7qGe7TxF7Zc4YMc5XPGB7UveSo7a440dN3OG46flUXrVSIma3kcRzRlg+4z0bp1q8F7DbKLciTDfOXxqPltV+z0jnRDKdyTgnIJ+9PqkUQOEXPOcDIx/is+rPhWsaeFFfwoUOQQGG9EEUjARd2SQ+7Z+m9NtDCZFEp8fILb+uDQ7m4lii8BzvzwAPU9KibfhNoCwxxbSxvrOcgHOK6ohLXS9/PAJFI0huSTXUe3/aTCEFQHYMGXHODSdw8duYysZcLuSDz6GqzzSowaOIuADz0+tZQF1LPrJYqSdzwT5e/pW05xWttriRniIIaJs5XbBHv0xV/iVuS1vpEjHfLjGMcUmqRrkXDmTpoU6dI/CnbSxtmBkMQKldJGo8Y/GlsgAhEo1fDKkDsdnL6dY8hkbe1Bur2+Z9MJfWuDI4AxxnGw39zRXtuzC/eoyMflxKMj6UtLM9nfSXCFtMhwwzqzvvVzrQkdozTRzW0sCLKwBVgmNRyOv51We7vbWQxG0wq/zDUD65/X41pSdoEdn99JGTDICSU3IGep/KhWF/LcNKrxoYdOdBOQMVVCtsyzvFoAQKRryuFPsT70IJdi4BmGiJeRqHAONvx44puS1sluERLh4iN403bFTd2QuJ1uoXMjIg8KjGoj67VOEbaCO77uVpcADSFB8XPmef8ANedvWEV7JCxZO72AYAkbcbdK29xCt28jAvjUmBlceeelA7Rit7+0WaFR36YGFGfDt/enz4DLhkPcKXMoVm06lbCgdR+jWlayR/EuXl0qYxpVtiMb7HNRHawv2f3PcLK8Tau7LlWx/Nxn8Ki2hknuYpIYDiMYLDcjpirlOPW9j9sd33QCkAyKDkk+HHJ/Kk/2lsIxemKAOGY5xpxkc7Hy3olrqxMLlyzgAqegweM9eta3aaq0MUk0PeRyxAauSGB/4rSzwc/Twkmm20gamk6ZGCBStyzSMWZdIycU/fXeLgwGAeAZB4pNQ0mWcBUG+WOBUnitkkcKSSuxaX+BDxv1P66UN7dyRNPIIUHDE7k+g6mqT3CxnRDv/wCX9hTHZtu0kuq5i70SDYsc49jU3x5LILbfEB1uYgsVtGNtYGX/ABzvQu1LmSV0G2APmwcjfitScI1sVQ953AAGo9PWujjjdIikDSlQcDGdIzzWXv8AtNrCWCfvUjeRFfnDH5c/n6VsCEI0SSNqSE7PthvOmouyzb3Uk2vXKx8OrB2PPHBoMgiEmtCwKbYzttvU9d6I02IRHJdWJGQHHH2rI7TtnASWLREw28PB8+fWmIo5486pDjVnA3wPOi3LBFRNAaR/4tPK1nuAnYglMAfKBoOMBjjz96ba4MVzH40C7ll67c0IAxweNwDqOxU/hSMs6R2k7SKCzZKsdiBTk35IybiGcjxIGctgNJpNdOCEEPdsYmXBB6emayrS7sjsQiud2aQ56dBRbeS8gZm1vJayeEPGunHqBVe3DPwtdR5EysEGyaF29qih2Msz6u6ldl6B0wf811RYeM6OLREW7/vIwMMoGPtnmlpbqRCvdNoDE7jY/WjTRNJAGjc918wRN9/z5pRLZsGOWQhiOAv1/GujwZmG7SMNKURpG4GnGfXfbFNXCXLRR93A5jcgkIcj+lLWNikzBo8sEIyrkjH+a24p5Ufus6IuBkYxv5f3qer+ioNssCp3c0LNg6mORk/jmuvT3lu8sccRVCGVwg1Lz6U5D8TGT8SYJTjbSMNn2JoEU9pdxdzOy6+GVgcjfbO3NTLS1mvdiEL8a08omH8EuNvQUtbpFJPIFtZ5VUEgq2lgPOne1LaERQ+A5icqSgyADuNtqJ2fcw2neSFRHMq4Oc5Gf61rL9mXitLu6te+D4CeJUIKv6nP0p+3u40t1M0Z1BRluSc/rNGeUz3dvNDIEcoWdDnDjPQDyo/dQ3o06QhUY26YPSjSK3lv3vZ0z4kVdWWwugsB5frpQLCVLOzQqjO7AklQc4znetazhibVG0xkQ9F6Dy/H1qnaPZ1u48BddWytqwB6YoNVL4XFuty0WSW0sygEj79KKIhJqaEJrbzOk+49aT7NtDEO6Yk95uQo+UDqfOl7z/tGOppoguAksbeFj5HyPvTio9B2VFcTzNC+gTMf95SqkZyQCM74rY7RuktezxbiEzvEdYOrGPbzrxPZP7Q3FpfxO8iyRodu9XdehwQNq9hfQx9sWJvIDqZUxIquSdskY6nmtd8B4e/7QmluXlRQjHYsx1H70mWluJFUku52Gs7UzdRaWBY6s75IwSfWqJDNrRhHlC2NQXI9sVF8AWDslxIGuyig7YDZIzwTT4LW1q0SCMuFxhWwOPWmIWjaKQxRkjju2x0HvWHcXGJ8Or44I8q59vSLTsUcxWRtIAiGkFTnPrUSXIt7Xukmw5AGnuwDnyzvmlkv2kniQP3CoNOputTcae+VVbUDvmRcb5z7VUhNeNpmtkAlwe7BATzHn5b0uHLTEd5lMYOelMRxItorRyIzoQXVflHvQ+y4J5v35hXB+VWONs71z2z5BlmCwDAIJU87BqVfvnnGod2MYJbYYHT1qvaEk3Z6dy9ujIfkLLn7e32paK6nWNVkYfvP4djn6UczZph3csj3cawklWYfORgUh2k3dOFZF6nJ4J8jQu0WcTMMaWHKagcUrJK75Erjccbbf2ro5gkEFxDKg71QFAPgA61odlrdXDLJbyDu1OkiSQ7/AE8tqyEhilbZt24XrW52VDcWcTSFB3JGzHByP60dfBtGSdbVAkcQYZPhj4z1NdWL2h2lG8gEluw0jAVX04rqznp6eIu5hBKJ45kaNtgi7FSef6c0J5Qp75NROOgG/TbFKXEdwzASIQUT5SMYA/RqsDM7K/Gk5A6YrfBjW7PeGPLxuNTDqOK051bZ+9VJGGoauCff2rz/AMa/xSlsE5A9KeS5tYULtrIKkhcg7+XGKi8hoTMktigeRVK+JWLH68VVPh5gJZLsOwHCbHPuOaJHOgi1TRxywbHOrxKOR+vSjHTKsckKYVuDKAVHttS+ErQGG+RYpYHZQThmbnHBzWJf2RtrzBMkiO2cHbNbLXLujQrMkbIcMrxlRg9MVQRvd2bRFFdlPhJXGk+XWiWwLpHGEiYMbcwLuXxo0/8At9/OpuV1RM4CgLlSzkrpGOhFANu5SNZ4HEqKdD8qfQ/hVWsu/wAtM7JmMBo32+uRnHWqM12MyoIwNIL8a2+b2Hl/at1pre5Vop0RZGGS4xk+VYcdnbSAfDiJWj+RwNWB+FOkRSQCEgkqpHkw/txVbD5q6iMFwjLqJ0n1qkkUc0HdzR94G523pNbJreR59TzSHhuQR7ee1GhnDShHKhjtTXGfcdgastZyZB4VvOtX9mJrm3kmt50KMMHxeXFOxwkjVG2QRvjf8aIbK9t4vjEjMkBGQw3GPUfrirlwrHmO3bWePteeHJcayQcdDRISlpEiPqUuCHKnBzWtcXPfv30gjJC6dQwdqRlhQnvI0dmUYA07edZerUdFLuIO4SOR1k5R9W2fI/rms64c3OBIgDrszBRz70wt1cLPriBUjY6hjUPL1qWeymbxzSifUNSgDDb/AIVnPCWbJL3UpDDU2Nz83tRV0SEzKzZAzgH9dKtfW7xXKxLCmhvl0Nqx+t61uyLK2wzLIxLYCeHmn11kMx2ZGoUSa1xjjPTPH3/rTkt6Yw7NGQEIyea6O3ghVUCk5GTqxufOgsO8QgupRW4Gwx13zXNbOhgfalzE0CiRDll8JP8ACa87cxiErIGaQhQeRt5cda2b14CpJBKgNuepxXlhJJrADsRjPGdq29LnIq84MJM+N4UZiPmffHsBvVNYnOBbFmzgAcmgTyM0ikDDHitAaezbZZJAGuGzpH8o8/X8K1GJIXs+PIRWumGO7HC+/ka60uGlid3c7AAknYn0H0pCB5bmcs+phnxNu2PSnmXFp8oVeNAOQKM8HJpG78WGHU+9dUzwyKqNIrgONS5HI866gJ7UkiaXVFcPI7Dx5Ax7cClkZgp0MFUjHrQ5BocqGDAfxDbNR3hxjH1qzMxRFyCNJGcEE4pmURkl4JUYY3UrjT7UhDI0UqyI7Kw6jkCtCA2ayNLJNDNncrLGV+2D60iq3Zl69pPmVWaE5BUnbPtTVzcPc3UbRQzxrnKhTq059arNc9mXcLarR4pIxnMR1DHmfOlbXvFytkznfUdBJ2/pSxL0Yt0ZVMisHAwHGCAR+W1T8SlvGmqZ+7BDf8UmWlEMccb6pP8A6wTv6YP6+9ZFxO+sx3MJjYeILjBHp7VM508eoW/R98qyk4ZRzv6ev5UlJbTwgiAL3BGlcyY36Ag4x+s1jW84GCrqwfwkDn7citbtKK7llkSGRUjChTqfAYEfYZpyZSwa3uu5ECNBiYeEsoyD54PnTcN1GdU6xDW2zkN5eVZMN5FFAEnURTJkh0U+LbAwfz/rTdsZZtLJEY4GyXZlAJPp/wAVRw4t7Mq4Kgg4bfAK/wBxR2T4uEjvMA8+a/hQFUlCfC365oMMzO+bSTu1RtJwuVb0z5iixprWsjfWwDFUkH8w5r0HYV/JLdNatlFbcL787GvGw9rnWVLszLlQQp/4+9anYfaajtKJ7uZO7GT3gHGB5dKuEc/aCx+GuXWNIwjKZEJ6Y5FeYLSIhMbnW+dicda9Z21f2NxbT26XOTCAyOTsR1Ga+f3Fw6f6BcEbkj16Vl6k2o6TEb1bnvSxZVB8JXVk4610TXSsss6Iy5L+DAOfypJe1J42Y6lOR58etRELm+kJRJT/AChc4H1pZnynLHoIF+LggkOAsTEkDGS2OfpTsYSB9cICgjUUG2M9R0qnZXZdzBZgSsFc/NuDvTDdnyIQyaHc7an4Ue1c/XfNuauYnvjID4QQAWI8sUS4lZYdTRruNwPLpj19K74VB4A0mBv6f5q/cIQAQT777Vne+OTvUjzkxDzKBGMhjjXvzSMkCJlg5y2Rkb+tep/6TaNMZSGJPmeKWm7DhbcSY3224zV/yuE3uPMxWsetrmUAoOFPU9Mik5YZppGkK7FvCo6V7SLsq3jXRK2vzHAFEW1todISAkruMDNH8rn6TOtee7P7N7QlhAYJDGDkZULmo7Vt3RlQBmCjc42+lenUgk+Bhjgt1pW8sxc4yxXffes5+T17vInVjzvakUkNvYRkMjpbgMDxz0rq177s92jttIMhEQGSQPzrq6b6/MV7nlBZSupkSJyBztxQZLd0IDqctwMV6+WOOaUM8bySZ6sw3rpjDCmLvUu4XQeQfXg49a1nbT2vIGJlC5Db7gY5Fbdv+z6lP+6ldHO4CrkAVqC0ikMhhVXKrkKzYDn0zTNjeR3ztasJILlf9qQ7E+St0Pv+NPT9ry0vYt3FOI0XXk+BlBwR554G1Or2Nf2yNLscr41U745/KtHtFL6ymRY1yJAcmRQPuAcfata3ld4BM4OjABB8PPkxODRoyMyyu+zp4BA5UyFfGSuls+9Deyt9ej4WO4hAJJDapVz65zj8aaS17OnIT4dUlRyB4lYA5yPWtH4LKNbGMNJuVITDDPQPgDp5UoPa8zd9hRRyKOz5iWOdUbnfpx9+tN9nWV1eD4C9kjXSpwshDH6DkU+9vbNJKEs7m3kIBL5yknoTz9cfSj2tuGkijleyijQnuyD419Bz60xhBf2ejtGUPqufGBh/DpHmG6VsXQtlKRFXLcZUZP1/XWpuo4AfiIr52kxjQiEKTx4t9uB0pOGO9MqjuAiDwhgQpx0HtSvUn2PEHhtGxIyE6QCMnfBrOPZEFgiO8kzLnCqGBB6kjavQQySRWLQAaJNR0tjI39KBdWsd4WW4XUpbOB4cbYqL63MTeuSkV32bDGI0uIosfwdR70Hu57id2hVEiDKoYLgsvX0p+KztrU/urdE//O9Fz6j6Vj1+TlyI69T9Mubs6efvg0hiD40lSDj8KV/+NId5LqRvRVArdJqM1lfyO2d7tZtp+z/Z9v4hCXfnMhz/AIrTjjSIARoqj0FRk129Y9dd9fKdS66gPEyAZ2U4G9QoCgbsR6nNRkk7VxOCBgjNZ+3q+BqxPlUamx0FVLY61GRjIPNOejaMSWOeaqSetQx338qqDq4FVPQGOOSeajbzNcfMCuyRxv8AWj/BTkV31EMjYHBzU5TyNSdyeR71U7nGr7U76NMe4ChY1O+F6g11DuRoEagEjT03H+K6nfSuqY03aRdDAtzGwDBPF4S2Oc7HG4x+s1J7QuGkUSrZqunSo1kn7kc0zZRx/Hv4F2TPHXIol5GmhToXIkAG1elK6brPkun7yQyPbozA41tgY8gMce9Qt1KhMMjwTtjZnc7jfA46fnXopoIS5JijJU4GVGwxS1iAQ+QD4V/OjRhYSyXsKvcNEsUZ0gjB58iR7Ua8jtbqyyLeKcocoHbI596iAk2ZB3Ac81MnyQf+WM+vhpXoBpbxrCum1t1kxkrFEoOfT19amOWaVSotRC52Zte59Tgb00qIEJCqCMnOKHJ8x9T+VR76WuX4gSatSrknPljbOw26VeO2j0jMOy/KQcH71nwM3/UpRqOBjbPpT907Lb5ViDkcGndwfRjvsHGMnG+DvXMzeXTrQE+Vj1zzRYiSxzvxWHTKrq2d8H1q6uAQQD9aA54q44FZyeUCOGbxL13NCz6Z9qYtfnHvQ5dpGxtWvtlmnefGqZFdVTXdKjGdi3I3NVGF8648iuHAp4cidQHFdnUvvXfw/Whng/8Asf6U4eJIIyQMZ9KjSPTPnnmpB8I9qgAZ4qoInB2YkZxVCc8gjzx1qhJCrgnk1XJ1c9KRiHST4dyOKjHiyoxkVJ+Y1EpPdjc8UEsdzggn2quACT5DbFCckM+CfmoqbN+vOl9lV5SQIhqZfAOMDNdXRgM7BgCATgGuqhr/2Q==</t>
  </si>
  <si>
    <t>Mount vernon waterfall</t>
  </si>
  <si>
    <t>It was not easy to reach this place. There was no road to down the falls. We had to make our own way after the tea estate. Visitors are advised to take care underfoot, as conditions can be slippery.</t>
  </si>
  <si>
    <t>https://encrypted-tbn0.gstatic.com/images?q=tbn:ANd9GcRzUjkAUNb4XCRuGKlly2wsahci4CUVUq97-fKNfZTl3g&amp;s=10</t>
  </si>
  <si>
    <t>Muhudu Maha Viharaya</t>
  </si>
  <si>
    <t>Beach Temple Visit: See the ancient temple ruins right beside the ocean. | Ruins Exploration: Explore statues and structures half-buried in the sand. | Beach Walk: Walk the beach toward Arugam Bay.</t>
  </si>
  <si>
    <t>Muhudu Maha Viharaya is an ancient Buddhist temple on the coast at Pottuvil, believed to date to the reign of King Kavantissa in the 2nd century BCE, and traditionally identified as the spot where Princess Viharamahadevi came ashore after being sent to sea to appease the gods, according to Sri Lankan legend. The temple, set among dunes close to the beach, remains an important pilgrimage site for Buddhists in the Eastern Province. Its coastal setting and long history make it one of Ampara's most significant heritage landmarks.</t>
  </si>
  <si>
    <t>Mullikulamalai</t>
  </si>
  <si>
    <t>Hill Hike: Trek up the rocky hill early in the morning before the dry-zone heat builds. | Nature Spotting: Watch for peacocks, eagles and other dry-zone birds along the trail. | Summit Photography: Capture sweeping views over the surrounding plains and scrub forest.</t>
  </si>
  <si>
    <t>Mullikulamalai is one of the numerous ancient Buddhist monastic ruin sites found across Ampara District's forested interior, an area historically part of the Digamadulla kingdom with an unusually high density of archaeological remains. Such sites typically feature the remnants of stupas, meditation caves, and inscriptions from the early Anuradhapura period. Many were reclaimed by jungle for centuries and remain quiet, rarely-visited heritage spots today.</t>
  </si>
  <si>
    <t>Muthiyangana Raja Maha Vihara</t>
  </si>
  <si>
    <t>Temple Worship: Visit one of the sacred sites the Buddha is believed to have visited. | Stupa Viewing: Admire the ancient stupa. | Mural Viewing: See the temple murals.</t>
  </si>
  <si>
    <t>The lord Buddha has visited Sri Lanka three times. One of them came to this place and it is an important sacred place among the Buddhists. Located in a quiet environment. Visitors are advised to take care underfoot, as conditions can be slippery.</t>
  </si>
  <si>
    <t>https://encrypted-tbn0.gstatic.com/images?q=tbn:ANd9GcSs0sJOfuaVH97H7ed1JV5ZD5TXhGGlpO6am714IgrX0Q&amp;s=10</t>
  </si>
  <si>
    <t>Nalanda gedige</t>
  </si>
  <si>
    <t>Stone Temple Viewing: See the unique stone temple blending Hindu and Buddhist styles. | Architecture Study: Admire the carvings. | Reservoir Views: Enjoy the peaceful surroundings.</t>
  </si>
  <si>
    <t>Marvelous place which situated in Matale district. The original place is considering middle of the Sri Lanka. But the place has been relocated in a safe place, because original place has been inundated to Bowathenna reservoir project. It remains a relatively quiet, less-touristy spot.</t>
  </si>
  <si>
    <t>https://encrypted-tbn0.gstatic.com/images?q=tbn:ANd9GcQaod_e4DIPx5iDf0ebMOu3P_HxCWfXuybm07FgKA5iCQ&amp;s=10</t>
  </si>
  <si>
    <t>Narangala Hill</t>
  </si>
  <si>
    <t>Sunrise Hike: Hike up early to see the sunrise over the hills. | Camping: Camp on the grassy summit. | Photography: Capture the views.</t>
  </si>
  <si>
    <t>Narangala, I know there are two ways to access it. The way near Narangala Kad Mandiya is a very difficult way. But apart from this way, the way from Kandegedara Junction to Narangala is easy. The spot is also known for its scenic views.</t>
  </si>
  <si>
    <t>https://encrypted-tbn0.gstatic.com/images?q=tbn:ANd9GcTACDz3vR2HMe5U8EiqjiYkTch83LwfBcPQ6QlBUvH0yQ&amp;s=10</t>
  </si>
  <si>
    <t>Narangala Mountain</t>
  </si>
  <si>
    <t>Mountain Hike: Hike the trail to the summit. | Summit Views: Enjoy 360-degree views. | Camping: Camp overnight.</t>
  </si>
  <si>
    <t>It is a amazing natural place. Very good place for camping. Not a very tough hike but a slippery path. Visitors are advised to take care underfoot, as conditions can be slippery.</t>
  </si>
  <si>
    <t>National Art Gallery</t>
  </si>
  <si>
    <t>Art Viewing: See paintings by Sri Lankan artists. | Exhibitions: Visit temporary exhibitions. | Cultural Walk: Combine with a walk in Viharamahadevi Park.</t>
  </si>
  <si>
    <t>Still under renovation. This is a building built throughout decades. Construction of the main building started in 1930's.</t>
  </si>
  <si>
    <t>https://encrypted-tbn0.gstatic.com/images?q=tbn:ANd9GcTx7hP-kPajSzcyTcbK-P9KC-kTVTYvphi6VLQxmNAstA&amp;s=10</t>
  </si>
  <si>
    <t>National Meuseum Galle</t>
  </si>
  <si>
    <t>Museum Tour: See exhibits on Galle's history, masks and crafts. | Dutch Building: Admire the old Dutch building. | Fort Walk: Continue exploring Galle Fort.</t>
  </si>
  <si>
    <t>The National Museum of Galle has some wonderful exhibits. However, it could benefit from better lighting and more detailed descriptions. Since Galle is a major tourist hub, places like this that showcase our history and culture should be developed in detail and with better standards. The spot is also known for its scenic views.</t>
  </si>
  <si>
    <t>https://encrypted-tbn0.gstatic.com/images?q=tbn:ANd9GcTXll0mLpOjWi5FwHn0EG6btgaosaI2v6qQhcA4kHc4FQ&amp;s=10</t>
  </si>
  <si>
    <t>National spice garden of sri lanka</t>
  </si>
  <si>
    <t>Spice Garden Tour: See spices growing. | Learning: Learn about their uses. | Spice Shopping: Buy fresh spices.</t>
  </si>
  <si>
    <t>We wanted to know how are produced the spices we use commonly. Nice garden out of the city of Matale. Our guide Mr Archer knows really well his subject.</t>
  </si>
  <si>
    <t>https://encrypted-tbn0.gstatic.com/images?q=tbn:ANd9GcSFplvx5hXzeG1J21hx4VKsQl6x6kWl3-MPw4qWGWCqxA&amp;s=10</t>
  </si>
  <si>
    <t>Neelagiri Stupa</t>
  </si>
  <si>
    <t>Jungle Trek: Walk through forest trails in the Lahugala area to reach the ruins. | Stupa Exploration: See one of the largest ancient stupas in the Eastern Province, recently restored. | Archaeology Spotting: Look for old inscriptions, stone pillars and relic remains around the site.</t>
  </si>
  <si>
    <t>The Neelagiri Vehera is an ancient stupa in the Ampara District's Lahugala-Pottuvil area, part of a cluster of Buddhist monastic ruins linked to the ancient Ruhuna kingdom and, according to local chronicles, to King Mahadathika Mahanaga, who is credited with building several monasteries along this coastal belt. Like many sites in the region, it fell into the jungle for centuries before renewed interest in the area's archaeology. It today stands as one of the lesser-visited heritage ruins scattered around Pottuvil.</t>
  </si>
  <si>
    <t>Negombo</t>
  </si>
  <si>
    <t>Dutch Canal Boat Ride: Cruise the Hamilton Canal past fishing villages and mangroves. | Fish Market Visit: See the lively lellama fish market and sun-dried fish beaches. | Church Tour: Visit St. Mary's Church with its painted ceilings. | Lagoon Trip: Take a boat into Negombo lagoon to see mangroves and birds.</t>
  </si>
  <si>
    <t>Negombo is a lively coastal town close to Colombo's international airport, known for its long sandy beach, Dutch colonial canal network, and a large fishing community centred on its bustling fish market. Its historic Dutch fort gate, St. Mary's Church, and Catholic heritage reflect centuries of Portuguese and Dutch influence, earning it the nickname "Little Rome." Its proximity to the airport makes it a common first or last stop for visitors to Sri Lanka.</t>
  </si>
  <si>
    <t>Negombo Beach</t>
  </si>
  <si>
    <t>Watersports: Try jet skiing, banana boats and windsurfing. | Sunset Walk: Walk the beach at sunset watching the fishing boats. | Beach Bars &amp; Seafood: Enjoy seafood dinners at beachfront restaurants.</t>
  </si>
  <si>
    <t>Negombo Beach is a long stretch of golden sand along Sri Lanka's west coast fronting the town of Negombo, popular for its proximity to the international airport and its lively evening promenade lined with restaurants and hotels. The beach is also a base for the town's traditional outrigger fishing boats and catamarans. Its convenient location makes it a common starting or ending point for visitors' Sri Lanka itineraries.</t>
  </si>
  <si>
    <t>Nikayalannuwara Historical Temple</t>
  </si>
  <si>
    <t>Temple Worship: Offer flowers and light oil lamps at the historic shrine. | Ruins Exploration: Walk around the old temple grounds to see ancient stonework and remains. | Local Heritage Learning: Chat with resident monks about the temple's history and legends.</t>
  </si>
  <si>
    <t>Nikayalannuwara is a historic temple site in the Kurunegala District associated with the ancient monastic and administrative heritage of the surrounding villages. Like many rural temples in the area, it preserves older shrine structures, Buddha statues, and traditions tied to the region's Kandyan-era Buddhist culture. It remains primarily a local place of worship rather than a major tourist draw.</t>
  </si>
  <si>
    <t>Nilavara Bottomless Well</t>
  </si>
  <si>
    <t>Well Viewing: Look into the deep limestone well, famous for its seemingly bottomless water. | Legend Learning: Hear the local stories linked to Lord Rama and the well's mysterious depth. | Jaffna Peninsula Drive: Combine with nearby sites on a scenic drive through Jaffna's villages.</t>
  </si>
  <si>
    <t>Nilavara, known locally as the "bottomless well," is a natural limestone sinkhole near Jaffna town whose depth has never been definitively measured, giving rise to local legends that it connects underground to distant water sources or even to India. The well has clear turquoise water and is a popular curiosity stop for visitors exploring the Jaffna Peninsula. Local folklore also links the site to King Ravana of the Ramayana epic.</t>
  </si>
  <si>
    <t>Nilwala Crocodile Safari</t>
  </si>
  <si>
    <t>River Boat Safari: Cruise the Nilwala river. | Crocodile Spotting: See saltwater crocodiles. | Birdwatching: Spot birds along the banks.</t>
  </si>
  <si>
    <t>Had a very lovely chilled day really enjoyed our trip down the river. Very nice guide, saw loads of amazing birds, bats and crocs. Definitely recommend if you want a relaxing day travelling down the river watching the wild life and the world go by. It remains a relatively quiet, less-touristy spot.</t>
  </si>
  <si>
    <t>https://encrypted-tbn0.gstatic.com/images?q=tbn:ANd9GcSJUcnrmtnJDtvuhUmmbHtM0bwm2KXsJlakIWCsnE7L8Q&amp;s=10</t>
  </si>
  <si>
    <t>Nuwaragala</t>
  </si>
  <si>
    <t>Forest Trek: Hike through dry-zone jungle to the rock summit. | Ancient Ruins: Discover stupas, caves and ponds from an old monastery. | Rock Pool Views: See natural rock pools and panoramic views from the top.</t>
  </si>
  <si>
    <t>Nuwaragala is an ancient monastic ruin site in Ampara District, believed by some archaeologists to correspond to Girinuwara, the legendary mountain city associated with Prince Giri Abhaya in early Sinhalese chronicles. The ruins, spread across the hillside, include a statue house and traces of structures dating to around the 1st century BCE, and the surrounding area is also home to Vedda indigenous communities. It remains one of the more historically significant, if lesser-known, archaeological sites in the district.</t>
  </si>
  <si>
    <t>Okanda Beach</t>
  </si>
  <si>
    <t>Surfing: Ride the long right-hand point break, best from May to September. | Beach Camping: Camp near the beach on the edge of the wilderness. | Wildlife Spotting: Look for elephants, deer and peacocks near the entrance to Kumana National Park.</t>
  </si>
  <si>
    <t>Okanda Beach lies on the wild, undeveloped southeastern coast of Ampara District near the Okanda Devalaya shrine and the entrance to Kumana National Park. Its remote setting, backed by scrub jungle, makes it far less developed than Sri Lanka's popular southern beaches, appealing to travelers seeking solitude. The beach is closely tied to the region's pilgrimage routes and coastal wilderness.</t>
  </si>
  <si>
    <t>Okanda Devalaya (A Destination of Mass Pilgrimage)</t>
  </si>
  <si>
    <t>Temple Worship: Visit the hilltop Murugan kovil and join ceremonies. | Pada Yatra Start: See pilgrims starting their walk through Kumana to Kataragama. | Beach &amp; Wildlife: Combine with Okanda Beach and Kumana National Park.</t>
  </si>
  <si>
    <t>Okanda Devalaya, on the coast near Kumana National Park, is a Hindu-Buddhist shrine dedicated to the god Skanda (Kataragama deviyo) and serves as the starting point for the traditional Pada Yatra pilgrimage route that pilgrims walk overland from the east coast to Kataragama. Thousands of devotees gather here annually, especially during the pilgrimage season, making it one of the most important mass-pilgrimage sites in the region. Its remote coastal setting adds to its distinctive character among Sri Lankan shrines.</t>
  </si>
  <si>
    <t>Old Dutch Market</t>
  </si>
  <si>
    <t>Market Visit: Explore the historic market building. | Fresh Produce Shopping: Buy fruits and vegetables. | Architecture Viewing: Admire the colonial building.</t>
  </si>
  <si>
    <t>An Iconic place in Matara. Has been built in the Dutch - Administration times (17 Century). Can be seen the amazing technology used, and architecture.</t>
  </si>
  <si>
    <t>https://encrypted-tbn0.gstatic.com/images?q=tbn:ANd9GcTm03A6GcPh2UEURRhDfZagEUPlD3LbiZhH0YXLEbK5jg&amp;s=10</t>
  </si>
  <si>
    <t>Old Parliament Building</t>
  </si>
  <si>
    <t>Architecture Viewing: Admire the neo-baroque colonial building. | Photography: Capture it from the Galle Face side. | Walk: Walk along the seafront.</t>
  </si>
  <si>
    <t>The building is several hundred meters long and only three- storeys high. It has been created using striking brown granite. The neo-classical architecture incorporates colonnades.</t>
  </si>
  <si>
    <t>https://encrypted-tbn0.gstatic.com/images?q=tbn:ANd9GcRcWhcCw4s1dvxILEcMANuapWTI-8h1svK94aBEs2NODw&amp;s=10</t>
  </si>
  <si>
    <t>Omunugala Cave Monastery</t>
  </si>
  <si>
    <t>Cave Exploration: Visit the ancient rock-shelter caves once used by meditating monks. | Inscription Spotting: Look for early Brahmi inscriptions carved at the drip ledges. | Nature Walk: Enjoy a quiet forest walk around the monastery grounds.</t>
  </si>
  <si>
    <t>Omunugala is a forest cave hermitage in the Ampara District, part of the wider network of ancient rock monasteries scattered through the dry-zone jungles of Sri Lanka's Eastern Province. Such sites typically feature drip-ledge caves once inhabited by Buddhist monks, along with rock inscriptions and ruined stupas dating back over two thousand years. The site remains a quiet, little-visited spot valued mainly by pilgrims and heritage enthusiasts.</t>
  </si>
  <si>
    <t>Owagiriya Ancient Monastery</t>
  </si>
  <si>
    <t>Ruins Exploration: Walk among the stone foundations and remains of the ancient monastery. | Stupa Viewing: See the old stupa mound and carved stonework. | Nature Walk: Enjoy the peaceful forested surroundings of the site.</t>
  </si>
  <si>
    <t>Owagiriya is another of the ancient monastic ruin sites found across Ampara District, part of the region's extensive cluster of early Buddhist heritage linked to the historic Digamadulla kingdom. Such sites typically feature rock caves, stupa remains, and inscriptions dating back over two millennia. It remains a quiet, lesser-visited archaeological location.</t>
  </si>
  <si>
    <t>Padiwita ambalama</t>
  </si>
  <si>
    <t>Wood Carving Study: See the carved wooden pillars of this traditional rest house. | Heritage Photography: Capture the old roof and craftsmanship. | Village Walk: Explore the surrounding village.</t>
  </si>
  <si>
    <t>This is called Padivita Ambalama. It is about 1.5km from Matale town. This is a very old Sinhalese cultural resting place. The spot is also known for its scenic views.</t>
  </si>
  <si>
    <t>https://encrypted-tbn0.gstatic.com/images?q=tbn:ANd9GcSXG3l5oqyCyYR5AALEZG2TrLRPfWz5BE3XUIaFlviOHw&amp;s=10</t>
  </si>
  <si>
    <t>Pallewela Waterfall</t>
  </si>
  <si>
    <t>A secret waterfall in Uva province which can be seen within 5 to 10 mins of walking from the main road, approximately 700m. Place is too cool to be. The view is spectacular. It draws a steady stream of local visitors, especially on weekends.</t>
  </si>
  <si>
    <t>https://encrypted-tbn0.gstatic.com/images?q=tbn:ANd9GcSeWmmLRhYpT-VLxrJdq6G3o-wSa_jbFJFnxal00nNtfA&amp;s=10</t>
  </si>
  <si>
    <t>Panagala</t>
  </si>
  <si>
    <t>Rock Climb: Climb the rock for views. | Ruins Exploration: Look for ancient remains. | Nature Walk: Enjoy the surroundings.</t>
  </si>
  <si>
    <t>It's an awesome location. A rock surrounded with rubber, jack and coconut trees situated in a highest place of a mountain near Pussella, Kurunegala, Sri Lanka. A sand road with stones and concrete will lead us to this place. Visitors are advised to take care underfoot, as conditions can be slippery.</t>
  </si>
  <si>
    <t>https://encrypted-tbn0.gstatic.com/images?q=tbn:ANd9GcT234Wh2PP-pMgpMGXVAXFUjNEhJzdLU0zUpeeVixQwVQ&amp;s=10</t>
  </si>
  <si>
    <t>Panavitiya Ambalama</t>
  </si>
  <si>
    <t>Wood Carving Study: Examine the intricately carved wooden pillars and beams of this 18th-century resting house. | Heritage Photography: Photograph the traditional Kandyan-era roof and craftsmanship in a peaceful village setting. | Village Walk: Stroll the surrounding paddy fields and countryside of the Kurunegala area.</t>
  </si>
  <si>
    <t>Panavitiya Ambalama is a beautifully carved 19th-century wayside resting hall (ambalama) in the Kurunegala District, traditionally used by travelers and traders as a shelter along old trade routes. It is celebrated for its finely carved wooden pillars decorated with figures of dancers, wrestlers, animals, and mythical creatures in the Kandyan style. It stands today as one of the best-preserved examples of this once-common type of Sri Lankan roadside architecture.</t>
  </si>
  <si>
    <t>Pandiruppu</t>
  </si>
  <si>
    <t>Beach Walk: Walk the quiet coastline. | Village Life: Observe local fishing activities. | Sunrise Viewing: Watch the sunrise over the sea.</t>
  </si>
  <si>
    <t>Nice place to be relaxing | better time is after 4:30 or 5:00. It draws a steady stream of local visitors, especially on weekends.</t>
  </si>
  <si>
    <t>https://encrypted-tbn0.gstatic.com/images?q=tbn:ANd9GcRS74TbnNeZSUL6GmaKyMZmZLgRUqPwsADhKnRwv4Oawg&amp;s=10</t>
  </si>
  <si>
    <t>Pannathgoda Purana Raja Maha Viharaya</t>
  </si>
  <si>
    <t>Temple Worship: Offer flowers and light oil lamps at this old village temple. | Heritage Exploration: Look at the old image house, stupa and traditional artwork. | Peaceful Retreat: Sit quietly under the trees and enjoy the calm temple grounds.</t>
  </si>
  <si>
    <t>Pannathgoda Purana Raja Maha Viharaya is an old Buddhist temple within the cluster of historic viharas found across the Ampara District's Digamadulla region, an area with a long-documented Buddhist presence dating back over two thousand years. Like many such rural temples, it combines an active place of worship with older shrine structures. It remains primarily significant to local devotees.</t>
  </si>
  <si>
    <t>Pareiyan Ella Falls</t>
  </si>
  <si>
    <t>Too dangerous place,never try to swim. there are deep holeaswell mbe careful when walking on the bushes. Also the map is wrong. Visitors are advised to take care underfoot, as conditions can be slippery.</t>
  </si>
  <si>
    <t>https://encrypted-tbn0.gstatic.com/images?q=tbn:ANd9GcR5rqPfKYPqRQoTYoMMoAhEthF46br75lF1FJsVT6UkWw&amp;s=10</t>
  </si>
  <si>
    <t>Parewi Duwa Temple</t>
  </si>
  <si>
    <t>Bridge Walk: Walk the bridge to the island temple. | Temple Visit: Visit the temple on the rocky island. | Sea Views: Enjoy the ocean views.</t>
  </si>
  <si>
    <t>A temple located in an island near Matara bus stand. Few days ago the bridge was broken and a temporary bridge was built. It's a risky bridge. Visitors are advised to take care underfoot, as conditions can be slippery.</t>
  </si>
  <si>
    <t>https://encrypted-tbn0.gstatic.com/images?q=tbn:ANd9GcQKVCHjLB86uO4bFw3NecJOD2Y51ikNqqFZenXgRQOUow&amp;s=10</t>
  </si>
  <si>
    <t>Parrot Rock</t>
  </si>
  <si>
    <t>Rock Climb: Climb the small rock at Mirissa Beach. | Sunset Viewing: Watch the sunset. | Photography: Capture views of the bay.</t>
  </si>
  <si>
    <t>One of the best place to watch beautiful Mirissa Beach. My recommendation will be to reach this rock before sunset and grab a corner and just relax watching one of the beautiful sunset of your life. We were lucky to watch sunset at one end and full moon rise at other end. Visitors are advised to take care underfoot, as conditions can be slippery.</t>
  </si>
  <si>
    <t>https://encrypted-tbn0.gstatic.com/images?q=tbn:ANd9GcQNA0ZgboireecMvGJSU_KLLkpQkYWaV9SvUSrEPi1TXg&amp;s=10</t>
  </si>
  <si>
    <t>Pasindu's Snorkeling Centre</t>
  </si>
  <si>
    <t>Snorkeling Trip: Snorkel with gear and a guide. | Turtle Spotting: Look for sea turtles. | Reef Exploration: Explore the coral reef.</t>
  </si>
  <si>
    <t>I liked everything very much! We were given good snorkeling equipment. We were taken to the turtles and also met a lot of fish. It's a popular local spot for a refreshing bath or swim.</t>
  </si>
  <si>
    <t>https://encrypted-tbn0.gstatic.com/images?q=tbn:ANd9GcSTuMJBnTBJdxTQnubqw14sRjCKa93CUOHArCAQ5w_9qQ&amp;s=10</t>
  </si>
  <si>
    <t>Pettah Floating Market</t>
  </si>
  <si>
    <t>Market Walk: Stroll the floating walkway along the lake. | Shopping: Browse clothes and souvenirs. | Street Food: Try local snacks.</t>
  </si>
  <si>
    <t>Opened in 2014 on a section of Colombo's Beira Lake, Pettah Floating Market was built to relocate street vendors from the crowded Pettah district and give the lake area a cleaner, more attractive public space. It has around 90 stalls, some set on platforms over the water, selling clothing, handicrafts, electronics and local snacks. It draws a steady stream of local visitors, especially on weekends, though some stalls can be quiet on off-peak days.</t>
  </si>
  <si>
    <t>https://encrypted-tbn0.gstatic.com/images?q=tbn:ANd9GcSkvlzxALpESae0T54sXJB9UoOnoCN_TPqNocxy_6sbRQ&amp;s=10</t>
  </si>
  <si>
    <t>Pigeon Island National Park</t>
  </si>
  <si>
    <t>Snorkeling: Swim over coral reefs with colourful fish. | Blacktip Reef Sharks: Spot small reef sharks in the shallows. | Turtle Spotting: See sea turtles feeding near the reef. | Beach Relaxing: Enjoy the white-sand beach.</t>
  </si>
  <si>
    <t>Pigeon Island National Park, off the coast of Trincomalee, comprises two small islands surrounded by one of Sri Lanka's best-preserved coral reefs, making it a top destination for snorkeling and diving. The park is named for the rock pigeons that nest on its rocky shores, while its waters are home to reef sharks, sea turtles, and colourful reef fish. It is one of only two marine national parks in Sri Lanka.</t>
  </si>
  <si>
    <t>Pinnawala Elephant Orphanage</t>
  </si>
  <si>
    <t>Elephant Bathing: Watch the herd bathe and play in the Maha Oya river. | Baby Feeding: See baby elephants being bottle-fed milk at scheduled times. | Elephant Dung Paper: Visit nearby workshops making paper from elephant dung.</t>
  </si>
  <si>
    <t>Pinnawala Elephant Orphanage, near Kegalle, was established in 1975 to care for orphaned and injured wild elephants and today houses one of the largest captive herds of elephants in the world. Visitors can watch the elephants bathe in the nearby Maha Oya river and observe feeding sessions, including for young calves. It remains one of Sri Lanka's most popular, and at times debated, wildlife attractions.</t>
  </si>
  <si>
    <t>Pitawala pathana , riverston</t>
  </si>
  <si>
    <t>Mini World's End: Walk to the dramatic cliff edge. | Grassland Walk: Stroll across the open grassland. | Photography: Capture the views.</t>
  </si>
  <si>
    <t>This is another semi world's end which is located close to riverston. If you visit Riverston, you should visit this as well. A ticket has to be obtained at the entry. The spot is also known for its scenic views.</t>
  </si>
  <si>
    <t>https://encrypted-tbn0.gstatic.com/images?q=tbn:ANd9GcQj92y9kOmETUy3gxAZ9WYrrGknthtinpFO2gaqcpfQhw&amp;s=10</t>
  </si>
  <si>
    <t>Piyangala Forest Hermitage</t>
  </si>
  <si>
    <t>Ruins Exploration: See the ancient hermitage and its stone remains. | Forest Walk: Walk the peaceful forest trails. | Meditation: Enjoy the quiet surroundings.</t>
  </si>
  <si>
    <t>Piyangala is a forest hermitage in the Ampara District, one of the many rock-based meditation retreats established in the region's jungle for Buddhist monks. These hermitages generally combine natural caves and boulders with simple shrines built for solitary practice. The site remains a modest, locally significant place of worship.</t>
  </si>
  <si>
    <t>Point Pedro</t>
  </si>
  <si>
    <t>Northernmost Point Visit: Stand at the northern tip of Sri Lanka by the coast marker. | Lighthouse &amp; Beach: See the lighthouse and relax on the quiet beaches. | Manalkadu Sand Dunes: Drive to the nearby dunes and the ruined church half-buried in sand. | Fishing Village Life: Watch fishermen bring in their catch along the shore.</t>
  </si>
  <si>
    <t>Point Pedro (Sinhala: Parutiyadi Thurai) is the northernmost town in Sri Lanka, on the tip of the Jaffna Peninsula, known for its lighthouse, fishing harbour, and role as a historic trading port. The area has quiet beaches and a strong Tamil cultural heritage, and its lighthouse marks the most northerly point of the island. It is a popular day-trip destination for travelers exploring the Jaffna region.</t>
  </si>
  <si>
    <t>Porawagala Viewpoint</t>
  </si>
  <si>
    <t>Viewpoint: Enjoy panoramic views. | Photography: Capture the scenery. | Sunset Viewing: Watch the sunset.</t>
  </si>
  <si>
    <t>Really beautiful place. From below, all the stations of Bandarawela city can be seen from this point. The steep downhill slope is very dangerous. Visitors are advised to take care underfoot, as conditions can be slippery.</t>
  </si>
  <si>
    <t>https://encrypted-tbn0.gstatic.com/images?q=tbn:ANd9GcR28veVk3lpVnsTSobV5_bjuqiwtVcxbtC72nbhKIPfqA&amp;s=10</t>
  </si>
  <si>
    <t>Pothgul Vihara</t>
  </si>
  <si>
    <t>Circular Library Viewing: See the ancient circular library building. | Statue Viewing: See the famous rock-carved statue of a king or sage. | Ruins Exploration: Explore the monastery ruins.</t>
  </si>
  <si>
    <t>Poth gula means the cave of books .This was a buddhist library in Anuradhapura era. A lot of puskola books were written at this place. King Walagamba has lived here and he developed this temple after regaining the Kingdom. Reaching it typically involves a short hike or a climb up steps.</t>
  </si>
  <si>
    <t>https://encrypted-tbn0.gstatic.com/images?q=tbn:ANd9GcSSBP8MiZQa73c4-qtpkHpeaHWhjBIbk1_hhelwgyU8oQ&amp;s=10</t>
  </si>
  <si>
    <t>Prabhawa Mountain Day Viewpoint</t>
  </si>
  <si>
    <t>Viewpoint Hike: Hike to the viewpoint. | Views: Enjoy the panoramic views. | Photography: Capture the scenery.</t>
  </si>
  <si>
    <t>On the top of Haputale Peak is a Hindu Kovil, an old temple of the tea estate workers, called Surungamuni Kovil. Hindus use to come here to celebrate cultural festivals. Hikers come here to enjoy the great view over Haputale town, forest,. It remains a relatively quiet, less-touristy spot.</t>
  </si>
  <si>
    <t>https://encrypted-tbn0.gstatic.com/images?q=tbn:ANd9GcRWXSToB3sZlH4FRIX6DacEmT6LP_LRpkv5T24YOBniOw&amp;s=10</t>
  </si>
  <si>
    <t>Puwakpitiya Oya</t>
  </si>
  <si>
    <t>Stream Bathing: Bathe in the stream. | Nature Walk: Walk along the stream. | Picnic: Relax by the water.</t>
  </si>
  <si>
    <t>Absolutely stunning place. It is safe to have a bath closer to the shore but pretty much deep in middle of the river. Tried touching the bed but didn't work out 😂. Visitors are advised to take care underfoot, as conditions can be slippery.</t>
  </si>
  <si>
    <t>https://encrypted-tbn0.gstatic.com/images?q=tbn:ANd9GcTLOzPjD4Jatawvvra-5-5RF5wFbSEOvBhmT4PECymPDA&amp;s</t>
  </si>
  <si>
    <t>Queen Viharamahadevi Statue</t>
  </si>
  <si>
    <t>Statue Viewing: See the statue of the legendary queen. | History Learning: Learn her story. | Photography: Capture the statue.</t>
  </si>
  <si>
    <t>Viharamahadevi (Sinhala:විහාරමහාදේවි) was the mother of King Dutugamunu, Saddhatissa and the Queen consort of King Kavantissa (King of the Ruhuna Sri Lanka).According to recent findings her name might have been "Sharwaree" which means evening. Queen Viharamahadevi was the daughter of King Kelanitissa who ruled Kelaniya.The King once punished an innocent monk by boiling him alive in a cauldron of oil. It is said that the gods, angered over this cruel deed, made the ocean rush inland and flood the land. Visitors are advised to take care underfoot, as conditions can be slippery.</t>
  </si>
  <si>
    <t>https://encrypted-tbn0.gstatic.com/images?q=tbn:ANd9GcRee3t_Zmja8ULvC4735F9yqa1EjeeeOXZXr0U2at0cvQ&amp;s</t>
  </si>
  <si>
    <t>Rahas ella waterfalls</t>
  </si>
  <si>
    <t>It's a very beautiful waterfall located near wattegama.easy acces and ability to see even in the vehicle. But having bath swimming diving here vwry risky and dangerous. Many people died here and be carefull od yourself and specially children. Visitors are advised to take care underfoot, as conditions can be slippery.</t>
  </si>
  <si>
    <t>https://encrypted-tbn0.gstatic.com/images?q=tbn:ANd9GcS_ZKWYLZbv51UoFRq8RaenZZSktdgu9wQYOXVZWv-GnQ&amp;s=10</t>
  </si>
  <si>
    <t>Raja &amp; the Whales</t>
  </si>
  <si>
    <t>Whale Watching Tour: Take a boat trip to see blue whales and dolphins. | Ocean Views: Enjoy the ocean views. | Marine Learning: Learn about marine life from the crew.</t>
  </si>
  <si>
    <t>If you want to go whale watching in Mirissa. Raja &amp; the whales is the way to go. They do research on the whales and can tell you all about them.</t>
  </si>
  <si>
    <t>https://encrypted-tbn0.gstatic.com/images?q=tbn:ANd9GcSAvCEnHU83Y3aBj5-8ZGKzUC0dOkfprzyZOSlIqScikQ&amp;s=10</t>
  </si>
  <si>
    <t>Rajagala</t>
  </si>
  <si>
    <t>Monastery Ruins Hike: Climb the rock through ruins of a vast ancient forest monastery. | Inscription Spotting: Find Brahmi inscriptions, including one linked to the Arahat Mahinda. | Summit Views: Enjoy wide views over Ampara's forests and paddy fields.</t>
  </si>
  <si>
    <t>Rajagala, also called Rassagala, is one of the largest archaeological sites in Sri Lanka, spanning over 1,025 acres in the Uhana area of Ampara District, with more than 500 documented ruins including stupas, image houses, and monastic buildings. Inscriptions found at the site connect it to Arhat Mahinda, the monk credited with introducing Buddhism to Sri Lanka. Ongoing excavations continue to reveal more about the site's role in the ancient Digamadulla kingdom.</t>
  </si>
  <si>
    <t>Rajanawa Waterfall</t>
  </si>
  <si>
    <t>Rajanawa waterfall situated just 6km away from Ratnapura town. Easily accessible from Ratnapura - Kalawana main road. It is surrounded by Large trees which gives a lush greenery surrounding. Visitors are advised to take care underfoot, as conditions can be slippery.</t>
  </si>
  <si>
    <t>https://encrypted-tbn0.gstatic.com/images?q=tbn:ANd9GcTxx2H7ojRso9f-vTQT8jdPYrqOC5VP_Jn4hPAZOTFfeQ&amp;s=10</t>
  </si>
  <si>
    <t>Rambadagalla monaragala temple</t>
  </si>
  <si>
    <t>World's tallest granite buddha statue is situated here. View from the top of the Rock is breathtaking. The spot is also known for its scenic views.</t>
  </si>
  <si>
    <t>https://encrypted-tbn0.gstatic.com/images?q=tbn:ANd9GcSwFwvX-dqryGJ43Ygvm3eiGLLlHjNMXKD489fOp3wsTQ&amp;s=10</t>
  </si>
  <si>
    <t>Rambakan Oya</t>
  </si>
  <si>
    <t>Reservoir Views: Enjoy the peaceful reservoir surrounded by forest. | Birdwatching: Spot water birds along the banks. | Wildlife Spotting: Watch for elephants that visit the water in the evening.</t>
  </si>
  <si>
    <t>Rambakan Oya is a river and reservoir area within Ampara District, part of the network of tanks and waterways that irrigate the district's dry-zone farmland. Like many of the region's reservoirs, it supports local agriculture and rural livelihoods while offering quiet, undeveloped natural scenery. It remains primarily of local significance rather than a major tourist site.</t>
  </si>
  <si>
    <t>Rambodagalla Buddha Statue</t>
  </si>
  <si>
    <t>Statue Viewing: See the large Buddha statue carved into a rock face. | Rock Climb: Climb up for close-up views of the carving. | Temple Visit: Explore the surrounding temple grounds.</t>
  </si>
  <si>
    <t>The Rambodagalla Buddha statue is a large, relatively modern rock-carved standing Buddha image in the Kurunegala area, created in a style reminiscent of ancient rock sculptures such as those at Aukana and Buduruwagala. It has become a notable pilgrimage and photography stop for its scale and setting amid the surrounding countryside. The statue reflects the continuing tradition of large-scale Buddha imagery in Sri Lanka.</t>
  </si>
  <si>
    <t>Rangala natural pool</t>
  </si>
  <si>
    <t>Natural Pool Swim: Swim in the natural rock pool. | Knuckles Views: Enjoy the Knuckles range views. | Hiking: Hike the nearby trails.</t>
  </si>
  <si>
    <t>Beautiful natural water pool located in Galabadawatte, Theldeniya. In some areas it is deep around 30 feet and swimming is dangerous in these areas. Please read notice boards before you swim or bath. Visitors are advised to take care underfoot, as conditions can be slippery.</t>
  </si>
  <si>
    <t>https://encrypted-tbn0.gstatic.com/images?q=tbn:ANd9GcQP59KWDj6q2QRHGOacIbQfPYlr2OgIIfoUf0miRd7anQ&amp;s=10</t>
  </si>
  <si>
    <t>Rathnapura National Museum</t>
  </si>
  <si>
    <t>Museum Tour: See exhibits on gems, fossils and local history. | Gem Learning: Learn about Sri Lanka's gem industry. | History Learning: Learn about the region.</t>
  </si>
  <si>
    <t>A historic place in Ratnapura town . It was built by Ehelepola nilame while he was the representative to the King of Kandian Kingdom. Later this walawwa was used as Gavernment Agent's bungalow, until 1987. It remains a relatively quiet, less-touristy spot.</t>
  </si>
  <si>
    <t>https://encrypted-tbn0.gstatic.com/images?q=tbn:ANd9GcQNLOzHLyxkgF4PteJB5njFZyAFoNDpzmEYYIvx3Btdeg&amp;s=10</t>
  </si>
  <si>
    <t>Ratmullukanda Viharaya</t>
  </si>
  <si>
    <t>Temple Worship: Offer flowers at the temple. | Rock Climb: Climb up for views over the countryside. | Heritage Exploration: Look for ancient ruins and caves.</t>
  </si>
  <si>
    <t>Ratmullukanda Viharaya is a Buddhist temple in the Kurunegala District, one of the region's many rural viharas combining an active place of worship with older shrine structures reflecting the area's long Buddhist heritage. Such temples typically serve as focal points for local religious festivals and community life. It remains primarily significant to local devotees rather than international visitors.</t>
  </si>
  <si>
    <t>Ravan Ella Waterfall</t>
  </si>
  <si>
    <t>Waterfall Viewing: See the falls from the roadside. | Ravana Cave: Climb to the nearby cave. | Photography: Capture the falls.</t>
  </si>
  <si>
    <t>Ravan Ella waterfall is a hidden gem in Sri Lanka. The majestic cascades create a mesmerizing spectacle, surrounded by pristine nature. The trek to the waterfall is adventurous, adding to the thrill. It's a popular local spot for a refreshing bath or swim.</t>
  </si>
  <si>
    <t>Ravana Waterfall</t>
  </si>
  <si>
    <t>Waterfall Viewing: See the falls. | Legend Learning: Hear the Ramayana legends. | Photography: Capture the falls.</t>
  </si>
  <si>
    <t>One of the beautiful waterfall in Ramboda. Its located on kandy nuwaraeliya road. Easy to access and you dont need to pay for anything. Visitors are advised to take care underfoot, as conditions can be slippery.</t>
  </si>
  <si>
    <t>https://encrypted-tbn0.gstatic.com/images?q=tbn:ANd9GcSXzoga6BWTGu8wFBcu3MwG-3ScFqYx2Hg-mnqH40o1xg&amp;s=10</t>
  </si>
  <si>
    <t>Ravana's Cave</t>
  </si>
  <si>
    <t>Cave Climb: Climb the steps to the cave. | Legend Learning: Hear the Ramayana legends. | Views: Enjoy views over Ella.</t>
  </si>
  <si>
    <t>I really enjoyed visiting the cave, because there were no guides or other tourists. I loved that I saw a lot of monkeys, birds and bats. The birds make small nests in the roof of the cave, so be careful not to disturb. Visitors are advised to take care underfoot, as conditions can be slippery.</t>
  </si>
  <si>
    <t>https://encrypted-tbn0.gstatic.com/images?q=tbn:ANd9GcSTTCK42v82U1S8jGcHclDEd1600z011PcwQtr6qXqkBA&amp;s=10</t>
  </si>
  <si>
    <t>Rawana Ella and Ravana Falls</t>
  </si>
  <si>
    <t>Waterfall Viewing: Stop by the roadside to see the multi-tiered falls cascading down the rock. | Ravana Cave Climb: Hike up the steps to the cave linked to the Ramayana legend. | Photography: Capture the falls from the viewing platform, best after rains. | Local Treats: Try fresh fruit and snacks from roadside vendors.</t>
  </si>
  <si>
    <t>Ravana Falls (also spelled Rawana Ella) is one of Sri Lanka's widest waterfalls, cascading about 25 metres near the town of Ella, and is easily visible from the main road, making it one of the most accessible falls in the hill country. It is named after the legendary demon-king Ravana of the Ramayana epic, who according to local folklore hid Sita in a cave near the falls. The site is especially dramatic during the rainy season and is a popular photo stop for travelers heading to or from Ella.</t>
  </si>
  <si>
    <t>Rekawa Turtle Beach</t>
  </si>
  <si>
    <t>Night Turtle Watching: Watch nesting turtles come ashore at night with a guide. | Beach Walk: Walk the beach. | Conservation Learning: Learn about turtle conservation.</t>
  </si>
  <si>
    <t>The beach is great and spacious. Very few tourists get lost here and it is quite lonely, especially during the day. Unfortunately, due to the swell, you usually can't go swimming here and there is a strong wind. Visitors are advised to take care underfoot, as conditions can be slippery.</t>
  </si>
  <si>
    <t>https://encrypted-tbn0.gstatic.com/images?q=tbn:ANd9GcR1S-1f6wPrkP-joA1OJCtbtC4n6ssVfgctPzx5fflayg&amp;s=10</t>
  </si>
  <si>
    <t>Richmond Castle</t>
  </si>
  <si>
    <t>Mansion Tour: Explore the grand Indo-European style mansion with its teak staircase and stained glass. | Garden Stroll: Walk the large gardens and fruit orchards. | History Learning: Hear the story of the local chieftain who built it.</t>
  </si>
  <si>
    <t>Richmond Castle, in Kalutara, is an early 20th-century mansion built for a wealthy local landowner, Don Arthur de Silva Wijesinghe Jayasekara, combining Edwardian and traditional Sri Lankan architectural elements. Its grand rooms, wide verandas, and gardens reflect the wealth of the colonial-era mercantile elite. The building is now used partly for public and cultural functions and is a notable heritage landmark in Kalutara.</t>
  </si>
  <si>
    <t>Ridee Viharaya</t>
  </si>
  <si>
    <t>Silver Temple Tour: Visit the rock-cave temple famous for its link to the silver ore used for Ruwanweliseya. | Dutch Tile Viewing: See the rare blue-and-white Delft tiles donated by the Dutch in the upper temple. | Ancient Carvings: Look at the carved ivory panels and the reclining Buddha in the cave shrine. | Rock Walk: Climb the surrounding rock for peaceful countryside views.</t>
  </si>
  <si>
    <t>Ridee Viharaya, or the Silver Temple, is an ancient rock cave temple near Kurunegala believed to date back to the 2nd century BCE, during the reign of King Dutugemunu, after silver ore was reportedly discovered at the site. The temple complex includes several image houses built into and around a large rock outcrop, with reclining and seated Buddha statues, old wall paintings, and a moonstone at its entrance considered one of the finest in the country. It remains an active place of worship and a notable stop on Kurunegala's heritage trail.</t>
  </si>
  <si>
    <t>Ridiyagama Safari Park</t>
  </si>
  <si>
    <t>Tram Safari: Ride through the park to see lions, tigers and other animals. | Animal Viewing: See wildlife up close. | Family Day Out: Enjoy the park with family.</t>
  </si>
  <si>
    <t>Highly recommended for those who love to see animals from less distance. Safety and security are well organized. Animals are kept in good condition. Visitors are advised to take care underfoot, as conditions can be slippery.</t>
  </si>
  <si>
    <t>https://encrypted-tbn0.gstatic.com/images?q=tbn:ANd9GcQDgXBYYmklvivF85Qwk9qJZSYyNTVaxkXp5Izt4vdX2w&amp;s=10</t>
  </si>
  <si>
    <t>Riverston</t>
  </si>
  <si>
    <t>Mini World's End: Walk to the cliff viewpoint. | Hiking: Hike the trails. | Waterfalls: Visit nearby waterfalls.</t>
  </si>
  <si>
    <t>Riverston is a cool, misty highland area on the edge of the Knuckles Mountain Range in the Matale District, best known for the grassy plateau of Pitawala Pathana, often called "Mini World's End" for its dramatic cliff-edge views over the valley below. The region also has several waterfalls and forest trails nearby, and stays relatively quiet compared to more touristed parts of the island. The final approach road can be rough, so a motorbike or 4x4 vehicle is recommended.</t>
  </si>
  <si>
    <t>https://encrypted-tbn0.gstatic.com/images?q=tbn:ANd9GcTxYBiN-a2o7xGMkODqOkOVnEPTfwE29eW1ibXdMpM_UA&amp;s=10</t>
  </si>
  <si>
    <t>Rukmani Devi Park</t>
  </si>
  <si>
    <t>Park Walk: Stroll through the park. | Picnic: Relax. | Kids Play: Let children play.</t>
  </si>
  <si>
    <t>Located in Negombo. An ideal place to relax with your friends and family and there is a play area for kids. The park is very spacious and well cared for. It draws a steady stream of local visitors, especially on weekends.</t>
  </si>
  <si>
    <t>https://encrypted-tbn0.gstatic.com/images?q=tbn:ANd9GcRK4liUQBDuNK679Bnh5SHHpGD5Lph0gQQSranaxtbZTQ&amp;s</t>
  </si>
  <si>
    <t>Rumassala Sanctuary</t>
  </si>
  <si>
    <t>Nature Walk: Walk the forest trails. | Birdwatching: Spot birds. | Legend Learning: Hear the Ramayana legends about the hill.</t>
  </si>
  <si>
    <t>Rumassala Sanctuary | Rumassala Sanctuary. Rumassala Sanctuary is a popular tourist destination located on Jungle Beach Road, Unawatuna, Galle. The sanctuary is a botanical paradise with rare plants and medicinal plants as well as endemic birds. It's a popular local spot for a refreshing bath or swim.</t>
  </si>
  <si>
    <t>https://encrypted-tbn0.gstatic.com/images?q=tbn:ANd9GcQiWygVCau8RPvkJ-wColpUPA_Q90twFPAdgVovwkrFsw&amp;s=10</t>
  </si>
  <si>
    <t>Rumassala South Beach</t>
  </si>
  <si>
    <t>Beach Relaxing: Relax on the quiet beach. | Swimming: Swim in the calm water. | Snorkeling: Explore the reef.</t>
  </si>
  <si>
    <t>A great place to relax, everything is very conveniently located, the cafes and restaurants are excellent, the prices are funny, the people are smiling and kind. I recommend this town to everyone, and especially the Ceylon Avenue Hotel, new with European-quality renovation and air conditioning. Visitors are advised to take care underfoot, as conditions can be slippery.</t>
  </si>
  <si>
    <t>https://encrypted-tbn0.gstatic.com/images?q=tbn:ANd9GcTzIwNxiPf7P4WZM5a8gp89WqbwkAwWPxEtG9rcwqC0RQ&amp;s=10</t>
  </si>
  <si>
    <t>Samangala Forest Hermitage</t>
  </si>
  <si>
    <t>Cave Hermitage Visit: See the ancient drip-ledged rock caves once used by meditating monks. | Inscription Spotting: Look for early Brahmi inscriptions carved above the cave entrances. | Forest Walk: Enjoy a slow, peaceful walk through the quiet forest surrounding the hermitage.</t>
  </si>
  <si>
    <t>Samangala is a forest hermitage in the Ampara District, one of many secluded meditation sites established amid the region's dry-zone jungle for monks seeking solitude. Such hermitages typically combine natural rock formations with simple shrines and are valued for their tranquillity rather than grand architecture. It remains primarily a place of quiet Buddhist practice.</t>
  </si>
  <si>
    <t>Sambodhi Pagoda</t>
  </si>
  <si>
    <t>Pagoda Visit: Climb the stairs to the stupa on stilts. | Port Views: Enjoy views of the port. | Photography: Capture the pagoda.</t>
  </si>
  <si>
    <t>Amazing temple because Pagoda is constructed on a flat form. Main idea of it to show sri lanka is a Buddhist county When ships close up to the Colombo harbor first of all seeing this Pagoda . Also this Pagoda is a symbol in five hundred rupee note. The spot is also known for its scenic views.</t>
  </si>
  <si>
    <t>https://encrypted-tbn0.gstatic.com/images?q=tbn:ANd9GcTxa7NKV-WYbTmn9SgOftFXI8eO0Qn-ss4Qz6WyzSzNOA&amp;s=10</t>
  </si>
  <si>
    <t>Sangamankanda Point</t>
  </si>
  <si>
    <t>Easternmost Point Visit: Stand at the easternmost point of Sri Lanka. | Lighthouse &amp; Coast: See the lighthouse and the rugged coastline. | Beach Time: Relax on the quiet beaches near Komari and Arugam Bay.</t>
  </si>
  <si>
    <t>Sangamankanda Point is a remote headland at the southeastern tip of Sri Lanka within the Ampara District, marking the point where the Indian Ocean's southern and eastern coastlines meet. It is notable for its lighthouse and its wild, undeveloped coastal scenery near Kumana National Park. The site offers dramatic ocean views and is popular with those exploring the less-visited far southeast of the island.</t>
  </si>
  <si>
    <t>Saniro Dream Paradise</t>
  </si>
  <si>
    <t>Relaxing: Relax in the natural surroundings. | Nature Walk: Explore the area. | Photography: Capture the scenery.</t>
  </si>
  <si>
    <t>Situated a little away from Colombo but easily accessible through Katunayake highway. Ample parking is available. Good for dayouting. It's a popular local spot for a refreshing bath or swim.</t>
  </si>
  <si>
    <t>https://encrypted-tbn0.gstatic.com/images?q=tbn:ANd9GcSu944rmpAav1eZ-GwUDBx7FMslyMKLlVWwrmxINv_1-g&amp;s=10</t>
  </si>
  <si>
    <t>Sathutu Uyana</t>
  </si>
  <si>
    <t>I’m actually at a loss for words!!! I had no idea Sathutu Uyana was still in business. They have moved from their original location at Vihara Maha Devi Park. Visitors are advised to take care underfoot, as conditions can be slippery.</t>
  </si>
  <si>
    <t>https://encrypted-tbn0.gstatic.com/images?q=tbn:ANd9GcTP0iMZYE3AsaxEg9AOdWzDisOKBprhFMWzwcnpH0hdUA&amp;s=10</t>
  </si>
  <si>
    <t>Sea corner</t>
  </si>
  <si>
    <t>Sea Views: Enjoy the ocean breeze. | Sunset Viewing: Watch the sunset. | Snacks: Enjoy local snacks.</t>
  </si>
  <si>
    <t>Sea corner is a local attraction in the Kalmunai district, valued by visitors for its natural or cultural character. It's a popular local spot for a refreshing bath or swim.</t>
  </si>
  <si>
    <t>https://encrypted-tbn0.gstatic.com/images?q=tbn:ANd9GcT9F_dyl3JFqQ5FyMCiK4voJzJ9YJ5AQp9cu8R5IRpM2A&amp;s=10</t>
  </si>
  <si>
    <t>Seema Malakaya Meditation Centre</t>
  </si>
  <si>
    <t>Meditation: Sit for quiet meditation on the floating platform in the lake. | Architecture Viewing: Admire the Geoffrey Bawa-designed pavilion and rows of Buddha statues. | Lake Walk: Stroll the bridges and lakeside paths of Beira Lake.</t>
  </si>
  <si>
    <t>Seema Malaka is a distinctive meditation and ordination hall built on stilts over Colombo's Beira Lake, designed in the 1970s by renowned Sri Lankan architect Geoffrey Bawa for the Gangaramaya Temple. Its open, water-surrounded pavilions house Buddha statues and are used for meditation and religious ceremonies. It is considered one of Bawa's most celebrated works and a striking example of modern Sri Lankan architecture blended with Buddhist tradition.</t>
  </si>
  <si>
    <t>Sembuwatta lake</t>
  </si>
  <si>
    <t>Lake Views: Enjoy the misty lake surrounded by pine and tea. | Swimming Pool: Swim in the natural-style pool. | Nature Walk: Walk the trails.</t>
  </si>
  <si>
    <t>Great place to relax and get some fun with friends. Also you can do some fun events like zipline, boat rides, shooting. There is a natural pool and we can get it a freeze bathe. Visitors are advised to take care underfoot, as conditions can be slippery.</t>
  </si>
  <si>
    <t>https://encrypted-tbn0.gstatic.com/images?q=tbn:ANd9GcSb6-tckZMPTLXjDqFLMskVX3qWpJUnMcXeIYbK1qsTHA&amp;s=10</t>
  </si>
  <si>
    <t>Senanayaka Samudraya of Inginiyagala</t>
  </si>
  <si>
    <t>Boat Safari: Take a boat to see elephants swimming between islands. | Reservoir Views: Enjoy the vast reservoir, Sri Lanka's largest. | Birdwatching: Spot cormorants, eagles and water birds.</t>
  </si>
  <si>
    <t>Senanayake Samudraya, near Inginiyagala in Ampara District, is Sri Lanka's largest man-made reservoir, created by damming the Gal Oya river as part of the Gal Oya development scheme in the 1950s and named after the country's first Prime Minister, D.S. Senanayake. The reservoir forms the heart of Gal Oya National Park and is well known for boat safaris where elephants can be seen swimming between its many islands. It remains central to irrigation and hydroelectric power in the Eastern Province.</t>
  </si>
  <si>
    <t>Sera ella water falls</t>
  </si>
  <si>
    <t>Waterfall Viewing: See the wide falls. | Bathing: Bathe in the pool. | Picnic: Relax by the water.</t>
  </si>
  <si>
    <t>One of the beautiful waterfalls hidden in Knuckles. Not advisable to bath in the base pond. Can visit by a car and road condition is good. Visitors are advised to take care underfoot, as conditions can be slippery.</t>
  </si>
  <si>
    <t>https://encrypted-tbn0.gstatic.com/images?q=tbn:ANd9GcRPJVeEcmpJEQJOPT0RY-GA7YaB-Gf1RU8CRAyFCa6WZQ&amp;s=10</t>
  </si>
  <si>
    <t>Shanthipura view point</t>
  </si>
  <si>
    <t>Viewpoint: Enjoy views from Sri Lanka's highest village. | Photography: Capture Nuwara Eliya below. | Sunrise Viewing: Watch the sunrise.</t>
  </si>
  <si>
    <t>Amazing viewpoint but less attractive to the visitors who come to Nuwara Eliya because of the transportation difficulties. But I would like to recommend if anyone can go there and see the stunning view of the whole Nuwara Eliya town from this natural place. There is a small cost when you go there. The spot is also known for its scenic views.</t>
  </si>
  <si>
    <t>https://encrypted-tbn0.gstatic.com/images?q=tbn:ANd9GcSFag6VunOZoxN3bVLEEKZvicO6ubv6PI8YUWj6z1CoIQ&amp;s=10</t>
  </si>
  <si>
    <t>Shasthrawela</t>
  </si>
  <si>
    <t>Site Visit: Explore the historic site and look around its remaining structures. | Heritage Learning: Ask locals or a guide about the site's history and religious importance. | Photography: Capture the site and its natural surroundings.</t>
  </si>
  <si>
    <t>Shasthrawela is one of the ancient archaeological sites scattered through the Pottuvil and Ampara area, part of the dense network of ruins historically associated with the Digamadulla kingdom and the region's early Buddhist heritage. Like many such sites, it comprises the remains of monastic structures amid dry-zone jungle. It remains a lesser-known heritage site off the main tourist trail.</t>
  </si>
  <si>
    <t>Sigiriya</t>
  </si>
  <si>
    <t>Water &amp; Boulder Gardens Walk: Stroll through the ancient symmetrical water gardens and boulder gardens at the base of the rock. | Fresco Gallery Visit: Climb the spiral staircase to see the famous painted maidens and walk past the polished Mirror Wall. | Lion's Paw Terrace: Rest at the giant carved lion paws before the final steep climb to the summit. | Summit Palace Ruins: Explore the royal palace foundations and pools on top while enjoying 360-degree views over the jungle.</t>
  </si>
  <si>
    <t>The distance from the Colombo is 169km and is on the way to Anuradhapura or polonnaruwa. Sigiriya was designated as a world heritage site in 1982. Sigiriya is famous for it's palace ruins on top of a massive 200 meter high rock surrounded by the remains of an extensive network of gardens, reservoirs and other structures.
The rock itself is a lava plug left over from an ancient long extinct volcano. It is also renowned for its ancient paintings (frescoes), which are similar to those found at Ajanta Caves in India. It is generally agreed, however, that the Sigiriya Frescoes exhibit a uniquely Sri Lankan style. Sigiriya may have been inhabited through prehistoric times.
It was used as a rock-shelter mountain monastery from about the 5th century BC, with caves prepared and donated by devotees of the Buddhist Sangha. Sigiriya Museum shows photos of the excavation of Sigiriya, reproductions of the frescoes, examples and translations of some of the graffiti on the Mirror Wall, and artifacts excavated from the site. You can probably view the museum in about 1 hour. Since the museum is outside the main entrance,</t>
  </si>
  <si>
    <t>Single tree hill</t>
  </si>
  <si>
    <t>Hill Hike: Hike up through tea estates. | Views: Enjoy views over Nuwara Eliya. | Photography: Capture the scenery.</t>
  </si>
  <si>
    <t>At the top, there is a temple. You can have some great views of Nuwara-Eliya city from here. If you are not coming by a private vehicle, there is a bit of climbing to do. The final stretch is best covered by motorbike or a 4x4 vehicle.</t>
  </si>
  <si>
    <t>data:image/jpeg;base64,/9j/4AAQSkZJRgABAQAAAQABAAD/2wCEAA0JCgsKCA0LCgsODg0PEyAVExISEyccHhcgLikxMC4pLSwzOko+MzZGNywtQFdBRkxOUlNSMj5aYVpQYEpRUk8BDg4OExETJhUVJk81LTVPT09PT09PT09PT09PT09PT09PT09PT09PT09PT09PT09PT09PT09PT09PT09PT09PT//AABEIALkA9gMBIgACEQEDEQH/xAAaAAACAwEBAAAAAAAAAAAAAAADBAECBQAG/8QAQhAAAgEDAgMFBgIIBAUFAQAAAQIDAAQREiETMUEFIlFhcRQygZGhsSPBMzVCcnOy0fAGFTRSJEN0guFEYpLC0jb/xAAZAQADAQEBAAAAAAAAAAAAAAAAAQIDBAX/xAAjEQACAgIDAQEAAgMAAAAAAAAAAQIREiEDMUFREwQiFGGB/9oADAMBAAIRAxEAPwD04NStDBoi1sYhFoqpkZoaUdDgb0AcuxANGyARiqjSd67Y8qCgrAHc1UgDlUatsVB3FAyrVGaozVUNQION67A60EPipMm1ABCQNhVSc0LVk1Yb0xCt6MrnwpEArG5znyrTnzjl0rMZWMoXIGR1rWBjNCfDmun0ooJAyT4VHsE4cBhWxZIqKRgaj73nTYRD3iozVvlrohcKltnnrns+eJdeNXkN9qQII5ivXyMoXcgV53tKRJbk8MDA61fHyORlzcSitCVWArtNSBW5zEipAzXAVZcg5oZSGYY0GGLbjoaYe97mhcUgWJ51FZuN9minWkScliTUVNTVEEbVdYSRqONqgDerlzjFLZSohVye6ufUZrqf7KeRZJAkOvb5V1ZuVM1jC0FBoqNVSlSq1xnYHVqOpDLSyjFGRsUDQVfCpO1U1iqmSgZfXiqtJQmeqFqBWXL5quqhlq7VQKwmquD5qF3oqR4OaAJRMimFCAcxmqKjZyTtXFdPIbUD6KSDNJXFrIzakIz+VP7EVRtt6pOiZKzMklMI57rsRQpO0DgFSR5UzeFNDF15nbFYzD510QipbZzcknHoJPdSztksQKXNWxXEVukl0czk32VAqcVIFTimSVq1dipC5O1AHYxU42zR4IMuDJyHMUxcpbiM6CM+FS5UaKDexACpA6VIGwrRsrZB323zSlKghG3QkkBZ0H+44o89i8WNGX/KnpFRJFfntjfpXC8hY6dRJ+9ZOcn0brjitMa7PjS3gHDBy27YHWuqEuVUd3YV1czts6o0lRfgL41UxgUUOPGhk5pIbKFcChFypojE1QrqpiK8Qmu1mrJFjnVJFYbjlQKypkqpkqhVjyFUOocxQATXVlagjJq1MQzG4HWmFkxWaD51dXPjSoaZqrMMVVpMmkFc+NXDnlQOxvIrjhhtS6ljzoikjbegBa4jByDz6Cs6S2k1AudIPLrWxIqkglckdaHPG0qKEOGB8K1jOjKfHZiywlCMnK0PFbMvZMrKNMik89wRSsnZdyiltC4Hga3jyJ+nNLia8EMV2KvpPUV2Ns1dmNFMUSM6WBHMVwXPKpC+VFoaRdpXbOcb0MjPSrAVIFA7bKgeNMLOUUBaDirAUmrGm0WmlMrZOfSoVlXG2TXYrtBJ2GaNJDtthBPgcq6q8J/9prqjGJecjTVvOr5JrFh7TZf0kSt6HFNr2xaBRmGUnqMj71yuLOxSRpp6ZrmA54rO/wA4jbZIFUebZNFHalrgZ1L40qY7QwwahknqKC3atpyy59FqR2pYEbuwPmtFMVouT4CqsuquF/YN7twmfPI+9MKFIDLhgeoOaA7FChHShsr+FaJCtzHKoEcfVaLCjLww6VOGzWg8UWORpYwMc6OVOworGpJ3NHBVR50uYZl8KtwZjvqApBTD8TPXFFjbPI0skBG7HNHUhOlADIAJwTzo6BRzG/jSBnXzzVxdYHX5UmmUmjQY561BIAxn1rPN+ucYPyq3tYblSpjtBJLK0mcSOm+d8daBddmxt3oFVc8wfyo3EBwNqs0gVcBt6tSkiHGL8ERZSbKAgPjVFtCrASaTvT7yKVwSKpIyMuy7jrVKbJwiITWoQEqCeuaA3eQDGMU6VdttWFoZgcZ22rWMvpjKHxCemp000kJZsYpqKGOPJZQT4Gm+SiI8TYpDZSyR612Hh40zDDwcDTv44plJVC41AAdKhrkZ5g1jKbZ0R44xOYZx3K6rLPkdKios0PDiQ1HENRwmzjP0rmiC7sTgVraMKZYSkcq4yeNA4kQPNsmq8dQepotAM6+m9cX8zSrXkabgEjrU+3REZAzSyAY1+Oacsu05rXuAa4wfdPT0rMF4hGdGAOe9HIOw2B60nJDVnrYbyGdA6Ou43HhVmuYl5uK8cWKbl1B671C3K5JafA8c1OmVmz1xvYuhJ9BVT2hEu24ryhvVTlJkeOaH7fnBzj8qrFCzZ6w9oxHbJrn7RjHLevJrfKxwJMfCrx3Ib/mAnOKMUGbPSntCI75qPbI2/aPyrEjJLYV1YjfAP9aNEVbGHXWd8Um4oLZpm6QdG+VWS8h/aLD4VmySFB3/AJ9KpxCfdDEeOKWUQ2bSXkDjaRfjVzKg92VD8awWyRkhRU4mx+EUNPKIWzd1+ddrzzNYKyXK5I093mFOSKsl5cM+lpAMcxnB+1O0LZuahgEGp4hHXaspLmbchWPqKhr6Veagb4otD2a4k33NWMpYZLZ6YrH9ulAyIifSoPaUmMqFHrkUaCzWDsp2NSzluprH/wAwuFTU6pjz2oMnasy9Vz4CmHRukggDNSukdAa86e2pymWUgA42GDUDtSXBKO3qef1ooMj04lA5KBXV5pO07wkiNlk9VqaVIeQhOsmsIvFLEEjKnl0oTQ3UhOgZztlhiq8OQSqVu2YAae+TvRva5IUARd1yuBvjPWpugqwKdm3zFo9Eer3h38beVUXs+4YgMAuo4zrBHx8K6ysr9LoNbaYy+Tqahtbdo+1NL3NQck4YYJPlSsMf9FvZkLN/xCE5wMcgfzq6dlsQCZFwfA0KOwubeRZWVMI2Tg5xmnkurNIik97KJcDSNAZVIHLPhUtsKTKLAsEkUYAfXzZTkCrtazspghK5I1Hc557mleLa8Xite4GdtKEbeG9P2/adnb3Ksly6oV0FSdW3maTsaMmXVC+iZ+/jK77EfGriFOIFlYuGwSsZ/PpWxLe9nySFQYWxyYR5oULWoZCt0S5OoKi49BtU/pQ3ABH2TxRxF1tCegOCM+PP7UK57GcELEDJuRs3IfLet2zkmdDMFkUg4wRvUm+lkk0FSN8brjeo/ZlfmjzDWUsY/GzGqnAZl2Pyo8UVvpwzFmHmQflXopIrh4nEq6g3IFR8qF/w6hY5I0TYAnQNqpcrZLhRmZjYbuCV55B/rXRo5fMXeXO+/TwNPm9s47UyumtgxBRAM4BrTt5OzzZC6BCREjJYYwaabHRiw9nrISeLcLhh7+MHr0FFmt7xFxbrE46bE1uPLBHMIg2GfkQNvnRsb7keVCVio8wIe0cgvBEPHCnemorafm3cztlAc/I1t6kYAqy7+Jxml5J4404hPdzpzy+9N0JJiXBuwoQSo645un38aoltIJDI6xKfFFIzRVkl4JDSAvJq0HHTpSL219FHJHNe5TAwzDB5A4NSsUNpjRkt9S63UtvsGHPy3owWFFXU7ENsAd9ydvrWTbWtvEFhlRGZSe8q4J8PhTyOjtw44nAI061QHfxOeVGSKUbIdrWOYhHYyAckHeHyqZpFTDSwT6ZOWV3Pn48qBK5V1LaiYzklV0k9KYW6jk0SKjx6V7pPP40/0QYoGcsVPs0iAgY1/fBpeS0DlnLLgDIAfTmhz3+ZiksJ0kkBgeY6ZH1+NUOtlJhXhY8Gxk01IGkORWgKcXMbBznDYzjfb60okMoZtEIb/wBy9PLG9CSR4kUPIUdv2im2/TemjI8ChjcRZ66HWqcn4FIz7tbmA4KyAE505K11Of5q0ajiY+Ck11T+svhOEfpWGKCMMFfUGyTqYDHpUezWYOpSFkPIh8mjPK0jE7RddIT/AM0m0ouJDgk4bBC4AHnWWTLaS6G1cxszcaTJxnJPT5VbilxpJVgTv3Tk/WljriU5d1O2BjHOkoe0CbuVJXcgDAGck/AUbZOSNZUIJCptjkTz+tLi0tJZXR4bcvnDYz9atbJJKsb8C4VXzkGLHI45nxzQLbs6WC6uJO+BnCHSAPjmkshpp+Fe0rSxtrRiLcDIwpRds+uap2dFaXNwdNuqMih8ZJGaYnsmuFkSed3j2K8LfJ866eG2t4eLbo6vEgAzDv5rmq3XYe9GPxI/aWZoygLHUoHT0qsVxDFOslupXcYwflmtCzPZ/HDXkayAgyEnbSee2KF7ZAZPxTOsZyYxHgFeXj4VRNB17buGLThmRmOQN1+IoVuWlnR8yEawzkvv64NEhs4Vj4im6kEm+MYyK07G2t7eLucONurSHU2PnWdrw0imyzjj3uqeaQQMdTush16+gA5YxTdtZdj3OoCO9uCvvazpUeVcJYjHww4YjGpjgDz3xQ3kthHLL7Q3DA5A5APhSkjVOuwlzddkdl5/4RY5HUqVZmbbOcZ3GfrSS9owX8CxwQxwuGzjmuPPOMULtGz4vCUcVolGVckY332GMVS1aKG0jjWNeIRliR+k8Ryzy86SSYm2bNvfxyk6pHxspwRgHz+lcHd5eHJcDvLpZdufiN6SXtOznbQiFZVGhjEgJI25+G5q/G7P0EM05K7gyIflmi2hJ2NYOspG5JGzji6T9dhSxuHTUphDICO9I5B+XL7UN74xAmIKyABlPvE46b9KXnJigE3CcFWOe9knruM1VMLQ9GvFYqJVilbYEMDjbkcj8zRIbZnUIsiOunDAjdduRPLl5+NZkHaVu/uKEmJyoDZJ/wC001HLCsZl4Jjmxs2nPL7DyFGxDxtktw5Qttthcj8zWVcSuXzBriwRkKw5ePLPj1oglkU6i76V20suAfMVJgSdCxLrI52ZcEIPP6Utg18F/wATVrMzbjGWPMVeRbeRUaMEEjfOMZqHtCvItKOjb70CFeEm3EySSQ2Rv6VndmYVGK4yQ2d8jdfnXDGs4K7HZiapDNgsp7oB29KKJIZRzGfEc6ltoQjfBy2zZBHU5rJeLScoN/Ctme04xkfLHQcbN5UjJbqDksw8iK345fROIokrjK5ziuo4s0fve0Kueh3+1dWlomma7xdoXUIj9nkVWJOkDvnkRkdKUtuyLhWK3U0tqzEbcPPrT0tzfxwiJVkSJO7qT3Wx1DeHLrSU17JM2Zm0rnZlXkfXnUJ0aWr3sdm7Ls7PRJNdyu7MFUM+D47jwpiGS17NLcGIvKTkmJsk/Gsue7gxqjtmmkJGWDZB5+O/0o8PajNpAhOs7Y4JbSPWjMbcWjXk7duGdeDcLKjLhkYY0t4bc9qrPdWK9nyNPGpc8uFJjes+4ujdyhZbOV2jIwREMHx3P97VRYRJI3Gt1VSe6Cp7vxqJT2PKkP21hdzW6La3Fu8YG2he+PHbmaHf2F9JDw7R7ghRh8jSPlT/AGdCAFFvIpUftSyalGPDfApP/EFyVRUS8kknznCjuqPM9PkKhz2U2mjCeGeCJVnl4ThSoR03waRntrgxRyMuQBgMBlq1rFu0b+YJCURkGnu93bx8zXoL+0KpGl7Bbyu3d/D2flzONvXPyofJQlHR5GyuXVxG7EKBjln861bi91iHhGPZSWIXGT0zk0aw7HtHjMkiTRjPIFX+OMA/Wsu9sbuzvPaGX8Bu6u538BiiLTYraNtbxzb8SaQCFlOpTgDGOWOfjWTZwpc280dtp0O+knIO3kKvZXTywLLE+AeZAO58DVWuDG2jSoUnJxGBv8qpybKtPs2Yu0Ira1aJmBVf2SM42wPtQLXtWFLZSUXngNWZPbNBE+uNlDDuk7Cl7eDiWqEg4PIcqjEFJjVxfy8eUpGihsbaRuBSzTzShYZMFC4JznYZ8KvNC8eUJDaAATVFhDIcafofpWinRm7s2zKiF0Bt3B0hNx3hvWXd9p2vtyx22FCnvNtgn+lK3M8k9u0fUABSTjrWO0TJjiAqTknyq87RR6h29oPcMUg07DSAVNTNCxVeJKUKrhskjUPhWNau/DjxuccsU7ai4aGNpYo5ApYFsD896nY1JdDME3DJRZXYgd1zggfPenrSZoJhKZWc4IOnqPT1ApC0urWWQoI5QRjUNOR9CD9K07SBFduDDKByzrOR59cUnYKSGbHUHKtKJHBydAAPxocjxtcPbzI3tUgOQzDl5etDjuLeB5RLOTKX7wZl3/KoupbeNDm6YxEbCPB0j0PUfCpUG3pDcopHNDA1y8RtDHGseC+STnPluBSlz2Y8n4C3bRowzqEWsYHkMGtmA2VtZcWd+Ekqg5VMGTPLIGR86VtL63RmSWCQRhiVITp545VolXaHiq2efntruwuhA04lB2DIrYG3XwpeZJQ3fPl7wr0t1N2Wp4kTxmR8mSNZXK5Pgdv79KFPedjTqIoIJUwMsZCCuf8A5f0o9IxR5xhLbkRtgbZAauq/a3bjJcmO2lZwmxbiZQ+mK6q7JPRXcaAZhRJMHByMDG4qq2KrHxJIxjIATPLPgaM88ckrs8DMWHu+HnR5IL0WgVmi4WBg68DHjWOaZq17QhL2W0qSXURaJUAGwyagWEgRcM0mTn3+VTOTbd5rlEZ13A72R8DSyXoEhCnug4GQRq+JO1DkujNRj3QV4ZEbhKVEmCdOrfAFHS2udGMAnGcBqy7uedu2hPa2ZZcj8MNr2xjfr9Olejj7T4gJ9mCqTg4Gw/rWbnFejJhtE4KSQxPFJnLHXg0C/aUqot01y7HGMA1E/aDrKiRI7rjGShx86z5XvCwleQZ5kL3iPIVH7JsdkR3lzZSycVhCzEHkCTz9cdKbkuOKQpumx4AfbHzrCkto3m9omuGiLH/mxkVbjRRAKXztjCgnn6VTkmFmlbdoNARCxJOk4ckZxnb6Cp7UvZbq2NtiNuIuQ7t7hz+dZ1vJZyuSkLu3I5G2fjTDIkanWAijoQQKl8lMWQGK7bs3suGCBASSdQC5I350KS5knuF1RAqRknGDtV3dQpMHDkI/Zkkx8jU2/eIEiBCe9jiZz/flTzdWAA94lZCXVeXfO1UsZkSM6893OBnlvWoYIpYmMO2Wxvq50GazuUbMEPEyMGNdvqRUrmUuxFYZo+GRBhTkjA8edDuZgqnHvHoPvRT2Z2szqiEKeX6PVjzzn605b9kyrEI7to5m3yVXTjw9aTnFbsKMiFlk1INZOV5jIB3P5UCJDJfmMozhs5BGcV6KHsy2gRlDEFjqADEZ6dR9KNHYRW00ksBaN5calB2A503/ACILoLMa1towGQsgVQWyRuKFpeO34du6lSSSCeYreMNs66V0uGzkjdhn+/pVWayZmtiI24Z0qpYYPUb+prOPOI828NypLRr3iQdv73okq3oBjjR5InDa9IwwJGd69KkcMAEqZxISQFPL0q6vBIXm0sNQyXzzwcVtD+TF9jWn2YnZlpNZ2uXt8ErtsD8PKunkj4KRtGzhTt0I8c+Nac80SRuiM5OrB5b+P986zbqBIIMqcENuZGOPT1rX/I3/AFY5JNC808roh4rOqkFY3YgbcqsvaE6vIz4l4w7ybEeVVjhM4LQRySgHBKAtg+FCule31HhOWHTG/ntTzbdCVom74KsoAyXXSGBAAPh50hKrgnBODV45Flh1OhAz8KvgMMBvjmmpUxN2ZjQLnm3wrqbkRo2OoHbaurXIEa9vc9rzyqcSJhe8SnXz/wDFahuLgxE3DvKMYww7ufSlnu2mhDQFnLYIwdh/f5UNpZZiGDYI94McjNeU1J+UVb6LN2pqUuYkAyBqePJJ9SaX9qs5HzLbRSPqO65HzGaFckSKY3xIrbYGfv064rJFndRl2RCEHInfA6VvDijWx0zfhvLRFKQxcMY6nu8/7+VXN+SmuWQoBthMHNYsKO0e66tgeW2+BV4+z5iylSe9kYzR+MPWCgzWbtKAgKZjnorKDkenrQuPazuJYuHk5BDLpzSDdj3PFCuzIqDOQRt51EdlFA5DOSu6gN7wxzzT/Lj8Hiah7QjgUEadHLG2M0F+0LaTVIAwYH3gcA0JbOKSPTxgp3ZTkYNWPZ0duMSISWA5ch1A+oqVCAUWbtC0EWvvDPI6+fxqF7THDPB4rKB3gGzj+zVm7Hhj2mhfYahzOKNbWlrb3cbxa1dVZTv74PQ+VNx46shkhb53KiF2BwFJc/ma0o4ESJEuMs+dLNkDOfuaVicwWbrIzsC3dctjPicVdyxjkeFxJEgEmlveP95rCTb0gsLFdwxT4VVHdIC7ZB8OWc7dc0ZbouyxxaRrXKZxkEVnCaGGWCUq2qNCC2dgp6tj7+BFXuriF7oOk5UrgLpGQevOk+K3oQ5Ity8ciRIEPXUB7vPnQLaG4eF5ZUdEC4BL4LY60m9+UCSd7hljurjAHQEdfUUR7id1AilVwrZkRxtg7Z8qFxuOqAuhe4SOJJMRuvvnBxg9fHPKotrmSLCtISzHDKcDQoGD5bnoapcAwxKsUiAjLagd19PLf6Cq3ctqt+URSCoH4hTVqcczn++tXim6Eh2V5klWaNQ2nYAdf/FdbWaC3eRLWNJJc7E4Knbw9DQbSUz27mJkCPv3jjV5VW5iLyvFBcTIIxkED3h1APhWeLWgDLHKLbRcKHYbIuThvDlvmqG0gnlTgvKWIDaWBOjc7Ag46+FKpHdLEZJ7ooS+kDONunxrQllRe0lXGtVQE4OMN47c6NoYvwpFkMixysE2/DAAPoK5lW1wjoCNBAhYhi5yPgPSg3V1PazKrqeC7FlKpqOPA45Va4A0288DwvKWB4Q3JGenwq0mA3jRGwgJjUjUXChSx59Bn4+VJ3dn7TIjDLFxgFn73xNF9ojV1ZoyfwQ2kjBBPInPTAopaK1A1MunIbUd+Y3FTGUojszo7ALlIwytGQp3wN8nIPw50lwGLu4dpFycYTFbfCUPuG4Eh7pbrnmMeOatHYJHGVkmwwYlAuzDz860/b6I89cMpGnUWIPPFdWh2hZTLIrWkLzFs6gpG3wrq6IclxstGTHJJGqnBVH2Ik3PwHP5YoyXIMisEjKsdjqwGPlsa01/w20UBN3OsmTvGpwCOYwfMU/D2V2ckyxwWup+QYbgZ/ZPh61MufjCjIiuuE6CSILr3KKMkeWcc/hTZurfTKXjJ8CRzo/aHZ1u9wVshvGpV9Rzgk7geZoK9nQxYludLS5ICtuBn7VnKcGrHdDDSwKgxGujSCuM4+PhS8V9byn8M95dt84Pj6Uzb8GD8SVMwjZlPeyNxuOm+MUTEDBJXjhhZSFHd1c/t1qMl2PMpfSIlsZGbMZGFQ4yduWfpUdoPYyRy64FWWcoFKtvsB1q89sGEzMQyBfw1HJcc9qXs0a6ha6SHXNAvcDD/djl9ayTvpmcm7Bns5bdIDHuxOG1HAAz0q0si3JFuGEcjEg6zkKAeXluKp2hC6jiMGlkcjZ2zo9P6Uzc6J5US4yot2Vk4Z2IHNT5nJNaN+thZaWSS1yJgjZ7vcOSw6DxHxoVvfxz25Rrcqp7u4BJHkP79aYx7dHLcSII4UBZY/jilrtNdxHcW0yLpwSrDOTyx6VGnr0QedIjAjlRokRTpyNumPjQrm2lY28LsnsXCw7AA7dASDz5V0+i5s1CIdQQYA2046fMUO0ASR3DTaG0s43BGCMr8RTjaQWGeC3e1nkVWDFSkrgENn9lQM+GNjsN6S4I/wAvNtbW/FY6mYsACgXn3jy+ApqQxQOJYUWOCV++WO6yLyb06V1oFs2aVBl5dWrDbMT4GnGUksgMW7jm7PuTZu0JCoPxW5RkjVpUnry/OmJ7SSFCwVhcS6dDo2RnzIyMeW9GvJU7Qi4ehWZJ1fSo3YjbH3+VLxxdoJE8jR8OWbSwbHveQPLGK3UskmxhOxWM7sLlpYoQjiQcHKMQP2eWk1oNHcws0ZWHLEpJGCGHqVwOg5eeK85dXN9bTy6pXKkbBnJ55GPrRTfNc3QvHY+0AgSJ5jA28fH40S4m3aEzR0TEztrW30nOTIUVGHI55Y/pUmWd4VCXLyNDgqwXSVyCOYzrG+Nuo5UVWt7i5maCLVJcDE6gd05H03waU7PlvreeGGSMOu5VVGdYzuc9Nz1pVa0I1zHACkl3bzO+kHUFwSR136/Kl7+S3yXnh1Ijh+IsmXDZwVUDfGMk7nl5VWWVru14zu6+ytlyGxnPIZ8a4XMZIWaKONGUs+YwzNkbEEjxJrOmnYIq0guOHPrwAQsQKkciQQevy+tD1zS3sVulzqwhYqismoDfSNzvz3z4bVe37RjnuYfaAjclRuhHj8dqHLcRQHisC44g0SKoHDcfWq2vBh7u/QF2gmAi4eniPtknkPXHXzrGS8a4eWFZFiVhhSRgD8xW3eRCIyyusHEUd8kHmd9hmsmGNIg8qMCfeVcDQPHzFVxVXWwNa1mjaCGSRTJPFpRVDEYJG74IyOXmOlCtjHK7TFJklEuee/LJBUnYisZp3LJcQNpCkqAo+JOOozTkctxIzK8RXUwZRp94+NN8egs0L66a2Kni/hOMrwwSR5Eb/OupuFEmgUNJiQElguSAfCurBccRWGltreRjmUzudiTIPwyOhA6/amnjDxEyHhAAboN8DqeRqP8ADX6jHqaN2n+kH7ifzVyyk88TatWIx3iu8kjBFkj/AErgYZjjkPXNYM983aFwbWQ8IEYDk6UXPL19ac7J/Qt/Gb/7UjN+s1/6f8q7OOCi2ZXsmW5MMUkRhXjl1Rjnm+2ds+B504skqrMEgzO/ebu5X4Gse+/1B/fb+Va9F/6KX90fyilzOkhvQCS+MHZsrnh8QA98NkcuQ8avDJeR9lR+1lo5HAmZOoXOwPr4V5+T/Sw/xvyr13av68f/ALKiaUVoPDHjumuJ4xOxAO4Kfsmi3EA9rhjtQ4UR6tATUGXrtzz/AH1q11+gf+KftWj2Z+ng/wClP8wpZ1TF4Z/Cm1T2/EUyMmGQMDp9KJFF7Fu5yZVxwy41KCcZ8/H4Vh2f67b/AL6b7U/XC/wz9q0cKlj9F0F27Ot2knldpNJCogwN9y2evrSkEtxwnuXMpt2wQzqSSOp9PpWpJ+rbj+Cv2rLk/wD5m1/gP962caSv0a2Wgze38dq5xFwsOc7nByfjvTV5EiiO0spCGjAB33I8fWkuyf1sP4X/AOabj/1V5++v3rOff/CejuzhHDIba5ZH1PxAwGOGw8wfHGR503fBFUvpV5Yl7sRbK5zzwOtZX/Pb99vsafn/ANbL+9/SpdtphZhstxNcLLcOkDMSVGCrq37J046/Gr3EMklnHNGpjcYZX/3DkTUTf6Bv35P5o6vZ/qVv3R+Vdr1stisPaJghcHPEY7svIfCtH/Mo5WN0rPFq4cbBctkA8sn1+nWsFP0q/vD716Gf9SSfvL/NU8qUaf0T0M3to0sXssU8SC4fDAZxpGTqxj5jNCkuIJv8PaHxJNazLEOhcg7EeGedV7G91P3m+xrOu/8AXyf9ev8ALU8f9rXwFsZkv8S+zW9uqqR3kZNJPoOtCs7yOO6WO51lo3ClJNsk7Zx40n25+tfgPvRu2PeP8Va0wXQ0hma+4t5LI8kilAMAjTy269c9KZVLa4gW4miVXyp16N8jfal5P0PaP8YfzmtiPnJ+5H9jXNN4q0FUJXAZeC76/acEoAV5b8wM74qJTdRXUcoMtyFB4mdhGtXuf16P3k+9R2h/oL7+G/3ojJtpP0Chma1dppBMpPc1DYP1yPHbFdU3X+ktP4QrqyWL20I//9k=</t>
  </si>
  <si>
    <t>Sinharaja</t>
  </si>
  <si>
    <t>Rainforest Trek: Hike rainforest trails with a guide through towering trees. | Endemic Birdwatching: Spot rare birds like the Sri Lanka blue magpie in mixed-species flocks. | Waterfalls &amp; Streams: Visit forest streams and small waterfalls along the trail.</t>
  </si>
  <si>
    <t>Sinharaja Forest Reserve, a UNESCO World Heritage Site straddling several districts including Ratnapura, is Sri Lanka's last major stretch of primary tropical rainforest and one of the richest biodiversity hotspots in South Asia. It shelters a high proportion of the island's endemic birds, mammals, and plants, and its dense, humid canopy makes it a premier destination for nature walks and birdwatching. Guided treks through the reserve are the main way to experience its wildlife and waterfalls.</t>
  </si>
  <si>
    <t>Siri Gautama Sambuddharaja maligawa</t>
  </si>
  <si>
    <t>It must be said that it is a magnificent palace. Even to a man looking at the outside of the palace, it looks artistic. The way the statues are carved inside the palace is amazing. It remains a relatively quiet, less-touristy spot.</t>
  </si>
  <si>
    <t>https://encrypted-tbn0.gstatic.com/images?q=tbn:ANd9GcQ_YpJupWh1p90Ps8vuUJgUPIy5oR2tRzkQhuq7Ff3VdQ&amp;s=10</t>
  </si>
  <si>
    <t>Sk Town Beach</t>
  </si>
  <si>
    <t>Beach Relaxing: Relax on the beach. | Swimming: Swim in calm conditions. | Sunset Viewing: Watch the sunset.</t>
  </si>
  <si>
    <t>Very good beach to have some relax and surf. Lack of local people. Forigners are the major community who using this beach. It remains a relatively quiet, less-touristy spot.</t>
  </si>
  <si>
    <t>https://encrypted-tbn0.gstatic.com/images?q=tbn:ANd9GcQL6i7DQu1M53AQ01YuXNrS1RUrsckz9PMzC7yVm3tRJQ&amp;s=10</t>
  </si>
  <si>
    <t>Snake Farm Weligama (Traditional Farm)</t>
  </si>
  <si>
    <t>Snake Viewing: See snakes up close. | Learning: Learn about snakes and traditional antidotes. | Photography: Capture the snakes safely.</t>
  </si>
  <si>
    <t>He asked 5000 LKR per Person. Not upfront. Ask a price when you arrive before he starts showing the snakes. Visitors are advised to take care underfoot, as conditions can be slippery.</t>
  </si>
  <si>
    <t>https://encrypted-tbn0.gstatic.com/images?q=tbn:ANd9GcT4jx-R6aUriqfcOr-fmRrc7KpU7F3IeVdpCHwk2yrcxg&amp;s=10</t>
  </si>
  <si>
    <t>Sri Dalada Maligawa (Temple of the Tooth)</t>
  </si>
  <si>
    <t>Puja Ceremony: Attend the drumming ceremony when the relic chamber opens. | Relic Chamber Viewing: View the golden casket holding the sacred tooth relic. | Museum Visit: Explore the temple museums and royal palace. | Kandy Lake Walk: Stroll around Kandy Lake afterward.</t>
  </si>
  <si>
    <t>The Temple of the Tooth Relic in Kandy is one of the most sacred Buddhist sites in the world, enshrining a tooth relic of the Buddha and forming the centrepiece of the Kandyan royal palace complex, a UNESCO World Heritage Site. Daily rituals (pujas) draw both worshippers and visitors, and the temple is the focal point of the annual Esala Perahera festival, one of Asia's grandest processions featuring decorated elephants, dancers, and drummers. It remains central to both Sri Lankan religious life and national identity.</t>
  </si>
  <si>
    <t>Sri Kailawasanathan Swami Devasthanam Kovil</t>
  </si>
  <si>
    <t>If you have to visit an indian temple in colombo, this is a must visit place. It is a pure place of worship and not commercialised business like the Gangaramaya temple which charges tourists a bomb to visit. This is a Peaceful. It remains a relatively quiet, less-touristy spot.</t>
  </si>
  <si>
    <t>https://encrypted-tbn0.gstatic.com/images?q=tbn:ANd9GcRQac_qCBGnAQDKOTkvgtiSBy_FmLpumGNOiS0fKfpvGA&amp;s=10</t>
  </si>
  <si>
    <t>Sri Lanka Planetarium</t>
  </si>
  <si>
    <t>Planetarium Show: Watch a star show under the dome. | Space Learning: Learn about astronomy. | Family Outing: Enjoy with family.</t>
  </si>
  <si>
    <t>From the outside it looks amazing. But they have lot to improve. Ticketing system is fully messed. It draws a steady stream of local visitors, especially on weekends.</t>
  </si>
  <si>
    <t>https://encrypted-tbn0.gstatic.com/images?q=tbn:ANd9GcTzIXadmutBRgXdZNfPVpkViIXkWccJZWIuJ9fV7QtKLg&amp;s=10</t>
  </si>
  <si>
    <t>Sri Maha Viharaya</t>
  </si>
  <si>
    <t>Buddhist temple, Beautiful place. Tourist attractive place around Ratnapura. As this temple situated naer to Colombo Ratnapura main road it is easy to access. It remains a relatively quiet, less-touristy spot.</t>
  </si>
  <si>
    <t>https://encrypted-tbn0.gstatic.com/images?q=tbn:ANd9GcSLKAP9DdhMDZvhwUUgXFGOCAzdr-VgGFy1E5Zjm4rIkg&amp;s=10</t>
  </si>
  <si>
    <t>Sri Pada (Adam's Peak)</t>
  </si>
  <si>
    <t>7 h</t>
  </si>
  <si>
    <t>Night Pilgrimage Climb: Start at 2 AM to climb the 5,500 steps with pilgrims. | Sunrise at the Summit: Watch the sunrise from the top. | Shadow of the Peak: See the triangular shadow cast across the land at dawn. | Sacred Footprint Shrine: Visit the footprint shrine and ring the bell.</t>
  </si>
  <si>
    <t>Sri Pada, or Adam's Peak, is a 2,243-metre conical mountain in the Ratnapura district revered by Buddhists, Hindus, Muslims, and Christians alike for the sacred footprint-shaped rock formation at its summit. Pilgrims climb thousands of steps, often through the night, to reach the peak for sunrise and to witness its famous triangular shadow cast across the surrounding hills. The pilgrimage season runs roughly from December to May, drawing hundreds of thousands of devotees and hikers each year.</t>
  </si>
  <si>
    <t>Sri Shakhyasinharamaya</t>
  </si>
  <si>
    <t>Temple Worship: Offer flowers and pay respects at the shrine. | Heritage Viewing: Admire the Buddha statues and temple artwork. | Peaceful Retreat: Enjoy quiet reflection in the temple grounds.</t>
  </si>
  <si>
    <t>Sri Shakhyasinharamaya is a Buddhist temple in the greater Colombo area, one of the many active viharas serving the city's Buddhist community with shrine rooms, Buddha statues, and space for religious ceremonies and almsgiving. Temples of this kind form an essential part of daily religious and community life across the capital. It functions primarily as a place of local worship.</t>
  </si>
  <si>
    <t>Sri Sudharmalaya Buddhist Temple</t>
  </si>
  <si>
    <t>This is a small Buddhist temple. You will see a small stupa in white. The belfry will draw your attention. It remains a relatively quiet, less-touristy spot.</t>
  </si>
  <si>
    <t>https://encrypted-tbn0.gstatic.com/images?q=tbn:ANd9GcSNhZAbqZEqeGGAKBQW9gUpu35_cRwuiihALc-3KtX_uA&amp;s=10</t>
  </si>
  <si>
    <t>Sri Sumana Saman Devalaya</t>
  </si>
  <si>
    <t>Devalaya Visit: Worship at the shrine to God Saman. | Perahera: Visit during the annual procession. | History Learning: Learn about its history.</t>
  </si>
  <si>
    <t>Sri Sumana Saman dewala is a place where most locals come to worship believing on their relief form grievance and hardships and wishing all sucess and good in their future endeavours. The deity Sri Sumana Saman believed to be attain the state of Sowan; the first stage of Great Nibbana, according to His Lord Buddha's teaching. It remains a relatively quiet, less-touristy spot.</t>
  </si>
  <si>
    <t>https://encrypted-tbn0.gstatic.com/images?q=tbn:ANd9GcSqN0kYOJYFmyhpgTX0GZuuFbU5J9cnsChuOOEgsnp3aQ&amp;s=10</t>
  </si>
  <si>
    <t>Sri muththumari amman kovil</t>
  </si>
  <si>
    <t>Temple Puja: Join the puja. | Gopuram Viewing: Admire the colourful tower. | Chariot Festival: Visit during the festival.</t>
  </si>
  <si>
    <t>A beautiful Hindu kovil/temple located closer to the Matale city centre. Unique Hindu art and crafts. This is one of the largest Hindu temples in Sri Lanka.</t>
  </si>
  <si>
    <t>https://encrypted-tbn0.gstatic.com/images?q=tbn:ANd9GcQLdPPy9Z0ekJBf6PDXw2puBRUjtCm0Yu6JzsnOt7gzzw&amp;s=10</t>
  </si>
  <si>
    <t>St. Anthony's Shrine, Kochchikade</t>
  </si>
  <si>
    <t>Shrine Visit: Visit the famous shrine. | Tuesday Prayers: Join the Tuesday prayers. | Candle Lighting: Light a candle.</t>
  </si>
  <si>
    <t>One of the popular Catholic shrines in Sri Lanka. The St. Anthony's church is very popular even among other religious people, and they visit, pray and give offerings. It draws a steady stream of local visitors, especially on weekends.</t>
  </si>
  <si>
    <t>https://encrypted-tbn0.gstatic.com/images?q=tbn:ANd9GcSimnRqr2XjIaQSGFcG1OvsLfmpiyteTVyqW60RGjkWOQ&amp;s=10</t>
  </si>
  <si>
    <t>St. Clair's Falls</t>
  </si>
  <si>
    <t>Waterfall Viewing: See Sri Lanka's widest waterfall from the roadside viewpoint. | Tea Estate Walk: Walk through the surrounding tea plantations. | Tea Tasting: Stop at the nearby St. Clair's tea centre for tea and views.</t>
  </si>
  <si>
    <t>St. Clair's Falls, near Talawakele in the central highlands, is one of Sri Lanka's widest waterfalls and is often nicknamed the "Little Niagara of Sri Lanka" for its broad, twin-cascade appearance. It drops around 80 metres amid the tea plantations that blanket the surrounding hills, and a viewpoint along the main road offers one of the most photographed waterfall vistas in the hill country. The falls are fed by the Kotmale Oya river.</t>
  </si>
  <si>
    <t>St. Lucia's Cathedral</t>
  </si>
  <si>
    <t>Cathedral Visit: See Sri Lanka's largest cathedral. | Architecture Viewing: Admire the design. | Service: Attend a service.</t>
  </si>
  <si>
    <t>One of the oldest Roman catholic church in Sri Lanka and the 1st Cathedral in Sri Lanka. Situated in the heart of Colombo - kotahena. A vast parking area available for the devotees. It draws a steady stream of local visitors, especially on weekends.</t>
  </si>
  <si>
    <t>https://encrypted-tbn0.gstatic.com/images?q=tbn:ANd9GcT3HVwQtDlzsD26pKTjBqpMXmfyVp20kQLYwwBkTNus-g&amp;s=10</t>
  </si>
  <si>
    <t>St. Mary's Cathedral</t>
  </si>
  <si>
    <t>Cathedral Visit: See the cathedral. | Architecture Viewing: Admire the design. | Service: Attend a service.</t>
  </si>
  <si>
    <t>One of the largest catholic churches in the southern Sri Lanka, built on 1874. It is the cathedral of Galle diocese. Situated on a cliff in Galle city over looking the galle town which the buildings cover most of its stunning views. It remains a relatively quiet, less-touristy spot.</t>
  </si>
  <si>
    <t>https://encrypted-tbn0.gstatic.com/images?q=tbn:ANd9GcTNImXmDoE3kplQZQYAv3Au3jiPiJEL-1s7qpklXRzXgg&amp;s=10</t>
  </si>
  <si>
    <t>Star Fort Matara</t>
  </si>
  <si>
    <t>Fort Visit: See the small star-shaped Dutch fort. | Museum: Visit the museum inside. | History Learning: Learn about Matara's history.</t>
  </si>
  <si>
    <t>A small fort. One can see ancient architecture and house structures. As it is built in the shape of a star, the name Matara Star Fort is applied.</t>
  </si>
  <si>
    <t>data:image/jpeg;base64,/9j/4AAQSkZJRgABAQAAAQABAAD/2wCEAA0JCgsKCA0LCgsODg0PEyAVExISEyccHhcgLikxMC4pLSwzOko+MzZGNywtQFdBRkxOUlNSMj5aYVpQYEpRUk8BDg4OExETJhUVJk81LTVPT09PT09PT09PT09PT09PT09PT09PT09PT09PT09PT09PT09PT09PT09PT09PT09PT//AABEIAKoA9gMBIgACEQEDEQH/xAAbAAACAwEBAQAAAAAAAAAAAAADBAIFBgEAB//EADoQAAIBAwIEBAIJAwQCAwAAAAECAwAEERIhBTFBURMiYXEygQYUI5GhscHR8EJS4SQzYvEVU3KCkv/EABoBAAMBAQEBAAAAAAAAAAAAAAIDBAEFAAb/xAAmEQACAgICAQQCAwEAAAAAAAAAAQIRAyESMUEEEyJRMmEUQnEF/9oADAMBAAIRAxEAPwCnkkD6thgbDb9qL/5G4W3eP6w4RjuA2Afu50EjWdyofAznIx+NSVFEippR874wdh7VJKddEzIRMukJDkL1wOf+KI0oC4w/qc7UzpKjJXdvKAKhDHmRySSRudXT27UrnbMsBiRQdMerbG/tUWhY51qi5HzNPIwaEEL8Q32/U0KQFceXUTy5YX8Kz3GC2JxTksAFcueW2KYj8fIAjXHfVnBqWksNRIOnfbbaiRyTOB5VjBG1ec0uj1hobXmQeS5OkZx8/vpd4Lp5P9KqqvPUzZyPSpgvHLhXOG2J70Rb+3ghLSqAo2ziqMedtJNDocfJbwxQPGCWVc9M8qk6QqMghsk8iKo147Y7avKDyyKZh4lYT7pNGPmKe8mReBvFFoothp+0OojbkKkEhkhLoxGdwMjelVa2YA+IuKPogceWRCR0FA88l2jaRE2UMs+pZJUKfCQefTOOXUipNZxRnDXdwM9p2A/OoeChO+/tU4oYi4G2/c1n8hhUiLWtrIjariRlO2DM3LtzrsFtaQySnKeaTXk82OB1o7x26JlygX1IFLScUsYW0HGV6YyT8qJZcj6QNofRrXGxX767JJaCPLYYcsYzmqST6RW5fTGnzK4x1716HjRnc+FC745gAVq91+AdF0YrIgAtoB6q2DVPeMIZwgYtER5MvzPvTqXNu6Dx4gmeWc0K4sLeUB4x7EHpU+bk/wAkZOHJaEriVw5jiVmk6HVgj+CllaQrryxbUFOonOMfiN64ltLHKSmQdWRnPahok8QeSWZnY77YUjvmkpImOvCHmWSLXoAxpUY1fOjG2Eqrq1LjYryz91SERmgCyzaMbnRz9qE+qGBi0yo3Ia98H0P38q9yfg83XQPw1hYbjfbB7d6btopRho0aQdSBtjvSGsyacTY0/ExG23oP3pvhV4YmMMcgBLZUEnHpyr05ZIx0ErotIY18PVMxABxtz+6pRw6QYo5IS3QmLBIPf+7HfnUnvSjDxVXBzrL82H61X28kkspSLMuhiRhc7Z6f9UMPVZl5MLGOyu2ctDMuo89LEfhXqcs40mi1QmVD18uQPv8A5tXash6jK42GmYmPEnkgUY6kncn1rskrxjWkYYk4yDk/4rsceCCSSOZxvmi6omK6l0+uM1LJ/QLf0GQM0Y1KUC+uc0nOZbVXLyxsDsBgggHpRzIHYAZ0g7bYNDV1lCh4sjVzJoIqUfk1oxa2TifWiBnzp9akzhiNODnoNzXcW0avpLanGML1qVjhoNCvy9NxQSfkFkkZbdBpZJHzvqyK5JJqkVnUKd9k3zUTLEJHTwyxzsSdvel2nYPsoJ5V6KvZgC8vp4yy+Dpfbcty96q7u/muFMC24Yk7YUj7qspmlWEyxrqkLeXIznfem7NnUFmT7Vt2CpmrsSjV0Px0Z5ba9kXT9XTGdgzf5rxgnQZNm3byOK2jQNMuJLRD1OlBq+4VF+G2zuqmOSInAC6iCfkaoWSP7Q0ysV5HGumaKeMqMBtOM+/embbiWJARcgoOYJKfmKt5eCSPNIttNE2lsKruFYn0FKycCnPxCJnA3XO9G3+z1jMPFVZSAzAcyx0kAZ6EH9KSvOLxI0im7A1bDDbgewoMnBLj4fqUgyMfw0zb/R6SPBMcUeT/AFeYituu6PMrl4mx1GOK4nZueE0r8s5/KumfiDkstvDDnq7ZNX8XCnjBaeZFC8lAO47irmPhsMRUw8P8YkA+JJGSPv5D516U1FdmbMQlvfzED60qnOfskpscN41BGbiK5kZV3OqPAHzrZRtIAVWSCNOojxt/+f3oDuTrjyTkEbjofSlSzJU3F19ntmYteNyJcJBxaIoh8pdORHr6e1aWULFGJYX1Kw3wcj3rG8RkMd29tcLlM7Y5471bfRW9RoJLN3B8LOk91P7H86bcX8X0e2hud2kkZkONJwCetJTKZQxeYq77DAI1b8s/zlT5UFmj32O2e1I3nlXRJvGTvXPyQ4SpAygvyR63mmbxI44zmNwrMN+2QPw3pi6ldybIBTqOw67b/mKLZQQGMiQOgbfUTgY32FMR/V7YKn2jBeQAB5+pqV5N6EVZU3vDpraHZU06QWKHOPegwLCWGmRtI3DAb+9XNzeypHl4tWQCDttSNjaJFEzMi5UbE/pRqcnHYe6HEQeGCwZieRcgj/qm7dpYiH8FVA/rRht/O1A8pKrjS6jPLAGRnPvQzdl5CkDEjBZvNg9B86XGDloxbLS3m+uQ6btUwDlctprtIATYXSwYhf7eleoHa1yPUVRC6gpkGobHfA/zUjgpkEtjoOlJtdQMMWzjI3yeR9K8t3vnQ2nG45ZNVLHJqwVFsamKCBg6ZUkbc96ThcHY40kbUQzmSMiSMf8AE9qG2nIXtvRxg0qYSXgsYkXwgxXzE9Ki8kcYd2A1qc461Brp3h0x48q8/Sq+eRWBCtsw3yKRHC5N2YoWPvdRugcKTj+nnk0PUpcOc5PYbUC0KiPBYgnl2Fcm4pb2oILNIF56APxopY2nUUY4u6Qy7LEPO2M+m9BEU5dpbdxEgHNzsx9jS1nLJxKT6x4ZQHyquc4H+TTV4QALdvKQNRx36V0PT4OEeUux8IUNm6dQNDrJnzEqcYPcCrO244VhCStKF6DVkZ7gcqQ4PbFeEXlx4BkdxpjyPy9f2qv8xPnDBh0PSnc70O4GhtmsWZnabdznS+w/Cm/Agkx9XkBO+RrDbVmEP2ZPl271BJirZU4PoaxqD7R7gakWzeJ4WsBOpx+leaBYlyZAFHxEnGazwvp1UqtxJhts6t8UFo9QyWPzOaGOLCt0ZwZoJ+JWzRJbMBIoPKIDP3ml5r2aQsNCkMxYa+m5P61SDykBTyPKnFSWZQ5K6VXLHHICjdJ/HRqh9jTXk5KoZRjmVUYFWl1rKI5EZTvjDcvyrORhvFVjz6+1XivJLwYxxIWlRzuSPKuP2NC05xcJeT0o0Zr6U2hMS3kYPkOlj6H/ADVJwy8+o3kU5JKKcSAdUPP9/lWpv+Gy3XCbnW8sk8Y1qGOM43wByzgH7xWNKAHnv2IpNUkCb8JKwaQ4KqfiA5jv+VDuI1kTI+EjBpLgvEwvBlBQP4Z8Ik9FxsfuwP8A61ZrGRGV22yBj8a3PuKmj0TtszSRJ9ZYMyDC9M+uflQw0AvGcFs4w2pjRJ7vRbkLFgj+01TeJplJbIVq5sMTlcmBCG22WryxXkwAYoo3LHrXGQC5JjGqNBh9WCRXvq8CwnwkbBXOQASD0qFiuPEDRDOM7ZGBjng0psRKTCRW7iZxr+LYEbkdxVdMYrXiKvPH4ZIwh6HsasVaJnKxtggecnIOoE5oPFrNr22jVEjaUA5ydyOgpuKXyphY3vYJGkZnVTKwByGBGPbFdoNraXdukcfisHZSxJXOnflnNerZd6MbRV/VmjZPLu4+LpRI3QnCkY98/hT86NNmGPAzkktvjttS6CKJI9CFSnlzzJPOnqbatmN6CrGr5Q5GNzilrxXMupAHGMZUU4JVWLxGyc7AbZqB1SIGicZPPBGDQwyOMrZ7Fa2VplljJjOVyNxUCy5y5wBTN4IUwZH0ueg3pSW+t1tiFZdPU9c9sVfBpqytNUOcLsmvVkuJWxbx5OnVjUf599W6QWV7Gr3QAtYl0rHGnnc/oOmaPwCCxv7W2ihbxFZAGx0br7VG74jHwqyuJIGjklRvCUp03P4DeiyS46iakhCSxkhu3FnayR2+NSxqwcqOXSk5VkMp8VGWRjspGPaq6K8ukfxIrl/FY6jk8z61c23GuIPIhvIYruLrqGCp9KxykuzUk2amIPbwWlpEU2XLHpkfp1+dKcSaC5k0yKviHqBuvzFAPEfrcvjqnguuNgwJI/ahYDHfmTkmkZczjGl2Xek9NzfKXQNre2WMoImLnqWoSWsed1PtThAIzscVHVk8sVMssvs6X8bEn0AFpFnJSieBHnGkY9aJnJx0rmoasEis5zfkYsOJeCIgiG+ha5IoEelNgTk461NW1bjkRmuEbntWKc07s9LBjkqoA4DxkKTqWn/o9KW4h4LtkyKQc+37fkKWAij1F84YYyOlGsIfq93DdIWIRwRt61fjy+Th5sLg3FlndxfV7jy9N9ztmsV9LbQQcXM6LiO4UMMd+X5Y/Gt9xMKJ1KeYNzPTPvyqp4hYQ8Tt/q8+Y2T4HA3U+opc/hkab0yLpmM4PcCGeSCVwsc66cnkGHKtNaznAgYO0ibE6fnWX4hYXPDZmtruMDVujY2cdwaLwziTW4WOVnCL8Mi/Gg/UelMhJJcZG/4a1gsi9vequ9tgBqOSp/pHQ1b286XcQkyjFh5XXAV+/wA6DcRkkoV36dc/4oJ4nj+Udo9ZXJLJDEFRtS45jcinoeKjw0EyESjbOcjFKmO1ttZYFHIySu+RRUQMcAAltx3NQZIxbsmyPYa4QhMQPGzltRy39J6b9abt4gzROZF0oDnDZDAcue4NJsLeCcK8RKDcEHAwD+h2phJIxE8lu8Ku76lD82A2I39fypcuqQBG4vPCYMh0xkYyy6gx77Gu0u0OZ9EChdsumrUUbsB0FerLoNQRVqRKpZw253weooUutrlfCUovIg9f5+lFDLbqvieYnbOciphkyXXc55DBFWL9A2QeTwMAqCwHL1qf1gIiyAY1HzAHFC0hZWbT5c5yxycVR3tzcQvmR9PMKibah645VscXJ7DguWgvGJ4Jl1SSszZwMAb/ADqm+0uJVSNWZuSoozQ3dnOWJrVfReCO2heaWJfrDH7Mt/b+lWwh4KEqQxwHhE3D/tpLiWK5cfDE5GkeuOdMzvBBKz62nSb/AHFYbH1rr3uiSR1OuRicFhsB02paCCa+kKqcJnDORsDTZUjUBn4UsTfWLMme3YZ5bx+9WXD0iMerA9mpyCROFxC3j88m/PfGe/7VyQLGqBIdMjeeQ8vw5flU8p1Gx+KDlLiRI8xKgaRyHavAYXVknI+6vKM7ivZckj8OtQ/k7O7FKKpHgwRdStnP51wsz6iilsbZFcyp8pbpk4PKlZHE8hBV8BT4fQDbY4/H7qdjxciXN6l49DiRzsRmM5Ox2oiwt4mWQ467VWC3nUf7jb89hTdrasi+JcRPKGHkGAN/fFFLEoq7J161+UMIhVQCADjpRNOVx1qQimWJWljZcjBJXGex+dcyQc4qNtPo6uKanHlECy5yCNqJbKoiMJYhulckGfMPuqG4Gr+oUWOdMV6rD7kbXaLK0vDbvonzJA22+5pyS0V4xLbzBhjqenvVci+JHnG3QU3ayPbkNEAR1Q9f2q9SU1xn0cPJj+hS+to77h/1KdzGXfKEjOkjr6ZrG3fDLiwmkSVCpG+obgr39q+hz2kV0TPA32n9Sjl/g0DyxZiZFkTGGRxqDDHXNa2sS+XXgnbo+c2l5JZyHyh4XPnjPInuOx9a01jeeMgMbeLCxx5vijbsaU499GxbxvecLBe15vFzaI/qKoLe5mtJVmt3wRsQdww7EdR/NqyGRx/w92bG5i0yRuuzcwOX3ZogVPBTx4dbEaiobFJW3EYbjhZkh1KkeBJEqrlD036j+bU2jQNiSNgWYgsTk7e1I9ViWpRFZFYe7wqxrnK7jIPLH+f1pCRWPhhmOp8Yyc4Of3o0xUW5B0jGfKSSdup/ap2x8WPWBnllSOVc+TaVi4ohGjNI0svmkPlY7Z2r1dureUN4mpWjb4QNse+eteoexlIp5Z8ZQMUVjnfbagvpjyNQ0nHI7HvRriIyadOVIXOcbfnSTW1yVVVUdWXv6108bXQuMLPT3Pho2CWQKWOQfljeqECa+ucKpeVzTt0SVn56lTSw/tOetQ4PxBLCdhKmqGTZyBuPaqq+iiEaRbQcGt4Y1aSPxXHxOGxg+g5ffVott4cYdZYyrDGstpI+R/SiYSaBTE4ZHGVZdwaSe3eCQOWJ0/3bjFDimpNqXYVhLexVpgLuUxW43LrzYdh6mnxeLtFDAVgXOFAxo9cdT61GGTKZOkEDdSam0WkiVQBn+3cUbVvYxLQxbwJDGbuQCQsPKOrH+CoeZiWbcnnmhwuxBAI05zjoKMXYLsB05e9Seok2zq+hjGuXkFKWiT898GhK2NRwRjfzY60W7YiPIUMM4wetQTSyAlSAfMNXSlJaKZu5UgFy5jiCFsscFyOWP6R8/wAqlbIdidy3Op3HiRpI0agicgnIzgjp8+ntUrGQEDGPSrFqFo42Vvm7G28KNAZZUTOw1dT+1P20yKUhUKxXPPbpVXd2JuJVkR1UhQp1emeVTn0pAqoTlQAD3xSMkFONXsTdl9L9qArEFcciaqLhUWVliJKg8yaSjvLmRTEZCM7b0RSEGkHIHXPOoYemlie2Xf8ANU4t29BBzI23HSo49KGHzuPhrjSajjJonE7kZassLF8SFM7HcUVyQ5IGetIWX2tyeelPiNWkigjGN6twr47OH6qvcfESeaWNllhbGDuOhpl7iK5iMqnTKgy0bcz7HPKuFECgY1E8h3rosY5cNdIFgB8zf1H/AIiqIPVS6IciQK2ug2JoSCvQ42OOhqm4/wDR/wCs673hcQyfNLbrzz3Hp6D8+eg0q2FiQRRL8Kjko7mqTj/GSsDWvDCy58sko2LegqfFG2+C+IldlFwJZLe9tplGYZmCODuCCcZ+RwflWlu4Y4rpAgxqXJUbbis3w53kubOy05LOvphc7n5DJrTcQcNct4QZnAI5bZ9KfiummFIq54nMreGcsQVPeoWqXEcWkADHNickftVpKVSMKuNTHcjpmhT4jj8JN2I3/c1Dp3FrQpsWW7dsiTO3Zdq5UPDURJuBnJzXqB44+AbZ2JMqSQpBFc0FzoxgKAcBfwqVrAmldOCg5A7kGh3LGPylmfbHPG/pty++sX5aBKPiEkL3xIyCBpI/u9qqrqMrg5BXkp9Kvp7TVGA+dPTuvz+dAmtI0h+1cKpGAMfH2rqYqnHQ+MhPg3F5OHSaHUyW7HdO3qK2MElvc2yXCPGYm3GenoawcsBgcMRqjzg55j0NNWFzLEshWV1jdtRVBsT7VjgmxhslSJ5MQSOYifLgZwOpB549K6zPGNCZO3yIqXBOLR8SidxEIrmNSJAvLfkRTdxYw3UZKExXPPIzpf8AY1vuK+MuzFLiwUSARDHxfmagW07Nt0oduJLabRchlXkSRy96fdFkjzvg9aDJj1srwZuErQqpXOk7atqr2ZbeR1BkGG2GKeC6VwX3B2xXpUEiEnGQSdutRp8XR1ZRc42heK51jRIMRNsfLuPWvR208cshjGVjGWOeXX/NBAJkGSSRTqyFQEO/lxqDEHHb8qep8SGeGWR2uycEhlBY4AG53/nrUfDeaVlj3IGefOulmyQkkgAGd5G7e9cwyyZMkpHQeKxHPrvWe5EX/FmSjULHz3x99DXzKQOvWjNyLasioqCq6uXYc6RKVnRx4uCSBuBGmkY7mhliMkc25e9TbJzmp8Pg8eYufhXZPXvW448mbny+3HQ5w+LwYSzH1Y0yJ/tAQN+QB6etBnfLCJADuAcDrVivhWUpHgamOxV+/cirKSVvo4spgyq28is8ZfxVzr5HHpRpWNwQ5kAiVdixwoFDdlMb3d3l0j8xycavQfhWT4pxOa+uGc4jj/pjXYD/ADWxj7y3+Ih/bD8Y4qZtVvbHSgPmcHc+3pVKzrGmeXYV15NwoBZicBcbmrXh3DDaMLq6US3ZOUTbTD6+p/KnWorjEGrJ8JshZs91dn/Uuv2S4/2we/Y42xVrDAxLSyZLN3rtpaljrkbzc8dM0xOdGBnmKRkmoJpdsLpFfeKGwi/P0pRI8tpK4JOOdOynv13NRSPyZYZYnG/QVK2kqE8rAtEqkKRkDlXqcC9q9QqSo3RQWzSxMdJABOcdPajOrSaQ+rPbalkkZVIkRi3XC5GD1on1uMyeCV0kAaZF3++hcJXdC2grDSMbeg6CkZ4GaJkXdCcgZ5VZYkbGtQQDuRRBChjwDpGe1BHK4PR5PiZp4QpImHlxjlnV70lNbNb5kgDPF1AO6Gtf/wCMF0p0bMOtV95ZzxTK0ZXybcsCujiyxyr9lCmm9CX0akaGY3FszJLG3mB3DZ71toZ7e+jZ7YBJBjxICc/NfT0rCMv1RJL61QqFIDx/0+9aHgl0q3tpcjGmQj7j3++nSxRyQ4vtGSLx4zdQvDJhjpLI3UEb4+7NVXD7h/GeJnLpzya0LIYbs45K+/tyP4VmJEFpxWSEEDcgjoBmkelm5Y2pdoOD2WU0WVJUDvSyuMbj3p2IhzoB3xzpee0MEmofAd6nyw3Z1/SZv6MXNviRnBOW71IxHHLkOf8APavaiScn5Vwjy+4pNtl3GJ3wmA25V0xuSCf5vUQcjYiu5yMBule2ZxRKNGGQ3LtUZCc4BwBXASefevSDbUOXavJWwm0lYIkuwhTdnPPsKs41UII0Hw0lbwsmZGxqbp2FOhGddEWAzAquTiq8caOLnze5Ll4LCO2NnJCQvnChg+c+Y+h/Og3lzFap412xCsfM2Mk0wWcIgk+IIBn+fOs39KbyL7GDxBknUQT2rzismbi+kSCXFOLXHEHCHyQJskYGMjuaRCyySJFEpeV8BUG/P8qCsomcRRZaR2Cr7k1o7OzFkjQwxMxbZ5m5ud8gdhy2qptdRASsFYWK2OHLrPeOfMy7iP0X96uLO3bC5X5nnXbGzRFyVIY8yRVkcBdKAADkKmy51HUew0gejSuBSUumV8LnA501K5xoXm1CEenYCplKlb7FZX4QDwufKvDZcY5U0IHxnbcd6G9syqWI3NIttgKLQDGeVeqQBBIKnavUQRSyx/CwU5HI0tJCGYhiQ2dsdDULp76RUWCZg4OpUUg/PkMirazQyQj6xAqyacN/irY+lkvJjxOrBR5CKjsQ5HPNSMWSAc5xkGk+I28huNaMxMYBwuQD6g9cdtqtLWf68qgBFkQZ5bsO4FA/RNRb8mqCSGLSHTFnOKhdQgxk6QQDyIqcbkHSw8w50U5KkHqOtRRk8c7FpPkZFYNUtxasTpcEAHrt/wBUDgjsIHt3BDwNj5f95q24yvhXaXKgrnZgOW1U13/ouIPOjKBOgbfJyeu2eecH513VKqmh9WqNnw+8e5tHaUqzxNhiy7FT/B+NLX7QXDeI5Pj8kAHlPrn+cqW+iN+t1FfCSGM3USrKmRnycjgHsd8/8qd4g7z2bOQHKNls4HlwT+mPnSVKLzUvJnTBLcDyyIMDANdW6LHTqyOzdaq7eYsGXBGliMelHjbL+VSSOYAzXnHZQpUiybQyA6EBPpUBFA6nGnIFDkSb7JRGSZBnn0qUXDbzW3ieFCSM+dsYHetpeTzyP7Bx28bSENIPQE4qfgBR5T0xRYrS3jny1yGbDDXo1LnG347/ACrlzwyeVtdq4mB/9TA4+W1Z8H00Csz+xVoW6/nXSnhJqwc896ZSynj3fy4OMOcUV4Hk0qUIBGScZxWOATm35OiFXCyhgFK01YyQrcFvDYeFGdTaTyyPxpOKJ4cI51IDse3y51brcxpqRQoxGrHA5Zzn35CtjGtvwDKWgVve297cMyW6omgku750gDA25c8V814txE8U4jLckIqatMYRdI05ODjua3tyYDY30tyiIkcDNI8XkZtuW2M9vnXzBSQuDjOADSU1KNryAtl79GoS980+PLAhbH/LkK2dh4a2uWySNh7nes79HIgnCg7/ABzuXx/xXYfjmrR70ttHuoJOTz/nOilJY8bbMk0tsuRIM7cqG8unJz7VUpd41EkDHPBziupd5lycaF55rmxkr2LeaNaLOMuefXnT8MCOmevaq+zuo5vhPmxyNOpJgnBwD1B51s5cmFilHtjLwoUABxihPHpTHflU/EjIXJzipBllLbD0oUUNwYiI41JDhj2Ir1EmTDYr1MoDijLX1s0cy3FqoCA621bYJG+46E743pu0dLiESBtZzjfbHfaljxqMzxRyxeGs4wXLbav0pMCThF62su8TnVnnnP678+tdqUf7RE4218ZF86CWLQSw6jScVWR21zHdpNFhS3PU26En8v2qzRwUVwQc8iO3ehXLscaGCs2wJ9x/kVDn9asb4x7Ay5OOkTmYsB5SJB0zUBdGJgkijUdtIOa5KzQ67ibSyaMZA5Zpj7OVvH0BiMqCu5HyrkTzOTtiv5DXZW8RVbiBwGAOnPzrPXEf1jhr9TbsHAB3I6j+daueMywqUMT8ycqe9VMOoXIaIalPNepH7V1/Q5HPHxZVCXJchT6NcUXh3Hra5ZiYmbw5M9UbY/oflW5lUJI6asruAehHSvnPErF7KYSJvbuToYcgf7fetDB9KbdbG2FyJHnVArkAb4/xR5IO012j0lfRZ29hFbggvI+oYIA5/fyFWdqweZYPDjCudBOCcetZKT6XHH2NoAc/1tUG+kFxLgiYIf8AgMYo4+7J7aRny8mhtLoWiHxpVQAlHUvjAG2xPKiS8Q4Y2Zm4hGw5Koyz/OsLdzmaQkuXycknqahEzl1VBIzdFUEk/IUMo45OmE42jYPxy2DYjhlcdSTj7v8ANNQcSsJF1eM0bYxhxjPzFZ2Ky4jIgKWTIOpmYR/gTn8KhItzbE/WbSdF/uC6l+8bUfs4PoBQo3C8R1KbWC8QyEBXVmJI9B++1N/aWlqqXMYdzIQAzbhcZ2PLtXzlbiGUDS6mrW04veWyxqJBJHGdlk8w36UXt1+DDNWJbZtWJGVj/wCxNQ+8ZNROkQOuY2eRviTlgfj2qlTjyMV8fh6DHMxOR+FOpxXhkki6HuIgQc+JHnH3UnIs9NV2C2V/0vu/q3BUtVUarpvMc/0jf8wKxUVvcXspjgTJBGT2FXP0qvW4hxRimowQLpjJGMjvXfo9ayQiXiMykRY8NFOfOe9YouMa+gukW0kRiVFhyI41VEB/tAxn8KlgsrFEC4251J1uJFKkCNieRG/KhslxDOheRDEwwAWwdQ3z+Fc+eSWT4yZJKUpeRmJlUqGXGBjGM5rzCM5ROeM5PX5UNSWC4Zcep557GuRyKbkkrqRTjUMbUihaVj3DdJk1MNO+xzVrkcgKpypjjPhhTHnOM7j96LbzvKB4bbAc+Yryn5HxjSLPcjnpqaOVONWaRjuHbUGRkYH5Ed6Gb1EywIp8Pl0Gi0Nyw21b16quCV7uZkjIyBk5IGK9T1iYdWZi6tzJFomGF656U7Zu17Z/U7wkyJsjA/EPfvQJt7Wyz1Zc+u1F4buY89yPwrpSk4wdG5Pxst+GKIbZbddfhltgTkqe3t+9dkLWsvxF1dTuw32/7qT/AO2vufzrnESRakgkHSfyr5ubuV/ZA3bsI4jYosmdGQSp3J36UgheCfKkpqGB0+VGtmbEO5+Dv6UnMALuPAAyGz95rILbQKVhY1t/EMTiNiAG1aQd6rr/AIVJDK11Y6jrJPhgYAotwSL0YOMKuPTYU47MIyQxB0Hr70+GSWOScTVOWN6KS3u2ZmSZRpdd0dcqflQZuD2E41J4kDdQh1D7jQ5ifsTncrzpiL/ciru45+5G2dCMrViicAgVvPxAn0WLenbfg/DUOGFzN7sF/KmYwDNgjrVhKoUeUAbdBWSSQYvFZWMcWYLGEv8A06gWP47UYfWTlYA0anmsYCD8Nqlb/HVnH8FR5fVcOogTfFClpZTnV4nlY4KtnJBo72TxXCyvvjBJ3BHrTaV6TmvvU69fkb2IWVtlXNYQ3DSm5tomGfjOCc+43qtuOD2MSatM0T8sI2MfI1opQM8utQk8xiRt11jynlV+PKsngcnZmn4U8aqYuIrhhylT9q8nC+Iycrq0VOrAnb5VouJwxBBiJBsD8I7CqmLm1Or9hAYeDWUT+LdzNdydFIIT9zT8ySSQhnXSqjyqMADtgU1ZKCgJAJA60W6/2F+VT+pfGFIGe4srI5JGIY+U8sCuaw75casAgbb12P42/wDlQIvijrlUiMYMowYo1J0gEsAAcVxAWfKk4G+TXWJBXG3P8qUJODv2ryRo4jLDKRqGpmzpA2OaY+sBHCxqgAx0xjPakD5WUjYll3FDutr447mnYcam6Y3Hs0axxQWS3txKZJHOPCHl8TfbPXlvSVzfvcWuhLK2iixkBYRqz3B55qrllkMZUyMVUMQM8uVan6JW8E1uss0MckiuNLuoJHsa6ixxhHSHKKPcPsp47QB7NtzlmdwpJ6V6ryT42969WHuKP//Z</t>
  </si>
  <si>
    <t>Swarnagiri maha viharaya</t>
  </si>
  <si>
    <t>Swarnagiri Maha Viharaya is a Buddhist temple which is situated in Single Tree Hill Road, Nuwara Eliya. It is located close to the Single Tree Hill and is also known as “Single Tree Hill Temple”. It is a popular Buddhist temple in Nuwara Eliya. It draws a steady stream of local visitors, especially on weekends.</t>
  </si>
  <si>
    <t>https://encrypted-tbn0.gstatic.com/images?q=tbn:ANd9GcTitGai0PHE0NI0BmdlLn9yKQYuApOqrz3EAxZ9lb1KHw&amp;s=10</t>
  </si>
  <si>
    <t>TURTLE POINT BATHEEGAMA, DiCKWELLA.</t>
  </si>
  <si>
    <t>Turtle Swimming: Swim with sea turtles in the shallows. | Snorkeling: Explore the water. | Beach Relaxing: Relax on the beach.</t>
  </si>
  <si>
    <t>Amazing protected bay for turtles and just chilling. Not crowded, very nice sandy beach, you can just swim with huge turtles, which usually fed by local people. Worth to see it, but first arrange a time with the guide, because that is the point that should not be too crowded to protect the natural area of the turtles. It's a popular local spot for a refreshing bath or swim.</t>
  </si>
  <si>
    <t>https://encrypted-tbn0.gstatic.com/images?q=tbn:ANd9GcR9gNtTNa-MA-T4Z0EpYhsyGvQQui5fL6FxjCkbyFBPtg&amp;s=10</t>
  </si>
  <si>
    <t>Thalangama Lake</t>
  </si>
  <si>
    <t>Birdwatching: Spot water birds. | Lakeside Walk: Walk the path. | Photography: Capture the lake at sunset.</t>
  </si>
  <si>
    <t>The lake is a much visited tourist area and the lake is one of the most attractive natural site in the area. With the sun set the place gets crowded with tourists and locals and loud music from vehicles fill the place. If you are a fan of nature and love bird watching this place is a must go. It's a popular local spot for a refreshing bath or swim.</t>
  </si>
  <si>
    <t>https://encrypted-tbn0.gstatic.com/images?q=tbn:ANd9GcSeGJ6NfAo1IrwHxB9wHZnTzCfnYR3UxDLqQV2cQ0PUlw&amp;s=10</t>
  </si>
  <si>
    <t>The Dagger Clawed People</t>
  </si>
  <si>
    <t>Heritage Learning: Learn about the story and local legends connected to this site from residents. | Guided Visit: Explore with a local guide who can explain its background and significance. | Photography: Capture the site and its surrounding landscape.</t>
  </si>
  <si>
    <t>This entry appears to refer to local folklore or archaeological interpretations tied to the Ampara district's ancient sites, an area rich with legends about early inhabitants, including stories connected to the Vedda people and pre-historic settlements in the region's rock shelters. Such folklore often accompanies the archaeological ruins scattered through Ampara's forests. Specific, verifiable details on this particular site are limited in available sources.</t>
  </si>
  <si>
    <t>The Japanese Peace Pagoda</t>
  </si>
  <si>
    <t>Pagoda Visit: Walk around the white stupa and view its Buddha statues. | Sunset Views: Watch the sunset over Galle Fort and the ocean. | Jungle Beach Hike: Walk down to the secluded Jungle Beach.</t>
  </si>
  <si>
    <t>The Japan Sama Viharaya, or Japanese Peace Pagoda, near Ampara town is one of several stupas built across Sri Lanka under the guidance of the Japanese Buddhist monk Nichidatsu Fujii, founder of the Nipponzan-Myohoji order, as a monument to non-violence and world peace. It was constructed in 1988 and draws both local worshippers and visitors seeking a quiet, reflective site. Its white dome is a recognisable landmark on Ampara's outskirts.</t>
  </si>
  <si>
    <t>The Nagapooshani Amman Kovil</t>
  </si>
  <si>
    <t>Ferry Ride: Take the boat from Kurikadduwan to Nainativu island. | Temple Worship: Join the puja at this important Shakti Peetha temple and admire its colourful gopuram. | Nagadeepa Visit: Walk to the nearby Buddhist Nagadeepa Vihara on the same island.</t>
  </si>
  <si>
    <t>The Nagapooshani Amman Kovil, on Nainativu Island near Jaffna, is one of the 64 Shakti Peethas of the Hindu tradition and one of the oldest and most revered Hindu temples in Sri Lanka, dedicated to the goddess Nagapooshani (Parvati). Uniquely, the island also hosts the Buddhist Nagadeepa Vihara close by, making it a shared pilgrimage site for both Hindus and Buddhists. The temple's colourful gopuram and annual festival draw large numbers of devotees each year.</t>
  </si>
  <si>
    <t>The Palm Rope Swing</t>
  </si>
  <si>
    <t>Rope Swing: Swing over the ocean on the palm tree swing. | Photography: Capture iconic photos. | Beach Relaxing: Relax on the beach.</t>
  </si>
  <si>
    <t>500 rupees is a bit much for 1 jump, but it's worth it. The photos come out cool, especially at sunset. There is a bar nearby, where you can also pay for the bungee. The spot is also known for its scenic views.</t>
  </si>
  <si>
    <t>https://encrypted-tbn0.gstatic.com/images?q=tbn:ANd9GcRtD3obuT8VSwWhD7wEu2PRI3sR8Os3zjSVyazNFZwLaQ&amp;s=10</t>
  </si>
  <si>
    <t>The Shrine of Our Lady of Matara</t>
  </si>
  <si>
    <t>Shrine Visit: Visit the historic shrine. | Prayer: Join prayers. | Festival Visit: Visit during the annual feast.</t>
  </si>
  <si>
    <t>Such a calm and relaxing church to go and pray asking all your intentions from Our Lady of Matara. The shrine is situated on the side of the main road and therefore access is very easy. This shrin is known for a lot of miracles and has a miraculous history to the our lady of matara statue. It remains a relatively quiet, less-touristy spot.</t>
  </si>
  <si>
    <t>https://encrypted-tbn0.gstatic.com/images?q=tbn:ANd9GcT-ZmG3kgjCb2ne8DkS_AiWkkIoOxeSp2trzETtebf_QQ&amp;s=10</t>
  </si>
  <si>
    <t>The Steaming Hot Water Wells of Mahaoya</t>
  </si>
  <si>
    <t>Hot Well Testing: Feel the different temperatures of the natural hot water wells. | Bathing: Take a relaxing warm bath from the well water. | Picnic: Enjoy the peaceful rural surroundings.</t>
  </si>
  <si>
    <t>The Mahaoya hot water wells, about 2 kilometres from Mahaoya town in Ampara District, comprise seven stone-walled wells fed by natural geothermal springs, with the hottest reaching around 56C, making them the hottest springs in Sri Lanka. Local tradition links their origin to the legendary king Ravana, and the mineral-rich waters are widely believed by visitors to have therapeutic benefits for skin conditions and arthritis. Only a couple of the wells are cool enough for bathing, while the others release visible steam.</t>
  </si>
  <si>
    <t>Themali kaan waterfalls</t>
  </si>
  <si>
    <t>Found this place by accident. im not sure about the exact name this is called. but this place is quite lovely and also it is a good place to take a bath. Visitors are advised to take care underfoot, as conditions can be slippery.</t>
  </si>
  <si>
    <t>data:image/jpeg;base64,/9j/4AAQSkZJRgABAQAAAQABAAD/2wCEAA0JCgsKCA0LCgsODg0PEyAVExISEyccHhcgLikxMC4pLSwzOko+MzZGNywtQFdBRkxOUlNSMj5aYVpQYEpRUk8BDg4OExETJhUVJk81LTVPT09PT09PT09PT09PT09PT09PT09PT09PT09PT09PT09PT09PT09PT09PT09PT09PT//AABEIAGAA9gMBIgACEQEDEQH/xAAbAAACAwEBAQAAAAAAAAAAAAAEBQIDBgABB//EADoQAAIBAwMCAwYEBQMEAwAAAAECAwAEERIhMQVBEyJRFDJhcYGRBkKhsSPB0eHwFVKCM3KS8SUmg//EABkBAAMBAQEAAAAAAAAAAAAAAAECAwAEBf/EACQRAAMBAAIDAAIBBQAAAAAAAAABAhESIQMxQTJRcQQTIiMz/9oADAMBAAIRAxEAPwB5dW7ywFS2VxgshI7YpVNcJF1D2TQjRruuxwRgZpqJo/ZJYRIr6VPy+vpxWfn6cbu9eaG4HlXON9hiuTw49H39HsnU3e6VIkAAYjCLjIrRCdYLY6ljSQRhgq8tn1NZSOxghk8W5mxp3Co25ps5V4AbaFsqApaRuPT0rqnoVgd+5mnEmcalO3rsKUyXDhZBEBnUMDGKZ9QuZkaFU8DATc6e/wAN6WG9kbVgLuRqwpGf1p9FJWkkrsA8oxnJT1qF2z6mPi4ReFzmqhM/tJ18kY+IqucoI8ebJ4zU/bNpErq2iyrfvV8kanARycc9vpXllE8s2gamb57EU4S0s7be6dC2PdRsn64pHrEwVm2aRVdMBttz6VCS30AsZsNjgGjy9sSTHhY27BuKEieHDeHD4jZ3Lb5NLjNmDnpq/wD1+0G5/izc/wDCrNNX2ilujW2oKCJJdl4/LUxGK9Xwf80c3k/IG0V54S+mPlRekV4VFWJgunHbVRfTrGS/uRChCDliRwKiV+FNOkTQWkbvK2Gfb6UttqehoSb7E/4y6YLeS0t7UkhIyx1HuWrPtaPjzIABHtjYjatL+KLpZbi1khbBMbAb470oS9BUpNp8VQd+3yrxPJdq3p3zUlHTGef2ezQ6kzpCNwDyc439fWmMXT5BdPGEDCQjEKn4c859e9L+lxh5/GcOnlyNPAYkk7/Wik6fLBfJcRTHCnUd6L80p4wtGlt7KTo8jymR7jxtUXhjyqTgbkfes11K8acw+ULpjUyAcFuc/CmMnUZ2uHuZSeZMK3CEjykfH+9JWidrkoD5FAUFt8Ad6rzT9C/B10fqk9mrRDS8edRHG2+f0rc2U0Etuvs58ijA27V886dIQJE8urBA3wR/ma0n4VmfxpIJCNSjsMHngn6fvToCNPXV1dWGOrqhKXETGNQzgeUE4BNDdPu5bqN/Gh8No2KMfykj/b6j41jBMkiRgF2AzXVmPxlfm1NuhlMYOSNs5rqKkGi8FQGiVDITkkEAY9fpVcfs48aWNWikdCreTTlSw+HwAq22W4LKJkk1lSzYJwN8Y5oOOKFjM8yxM8jY8pOn7Z+FcM+9bGlMUylXjU5VWXAAU8DfGKt8ZfZJI2mZjjZc4HNHydKtpIfKTE+MAo2P61TJ0WytrZnaWRsr5Vzuft2roVyx3DEdyQ7RFUBYDA+5NRYzMoQlQWPPyplLaQocYZSvIzmgLkJCiuzYIPY07RFyypkKk4I5HwqtITNIzblQds10Z8UhFxozuRTmCCJI1lkVX7KpbAyP3rSs9mSALayuTvDHPv7xTjH0o62s2nICHzZ45zRUl1LORbSuY0I9xV0/T41Wbg286xouiJxkaqzlMOFPV+h3FrIkskmzDcYxp9aXRGRQFhOcbb7ZNOOpzzyJI0kmrSvl290cClEUigEkAnOxpKWGa7NZ0hP/AIOAtz4sh4/7aLMWFziqeiN43RIWA4lkGP8Axo8o+d1r0v6d/wCtHJ5PyYF4RJ4r32djReluwxRllZLcBhJKVbsB6VWqUrWJM8ukKfZ/Wu8IAcUxktGjmaJycjgjvRVv01GJDswOPkQaV+SUvYy8bZiPxWrq1mEGcI3mU4xkmkCMGGm4znnCjtWp/Goks+oWUCyYJiJLL/3Uh/1ZLeXISTXuA45IPrv2ry/M9t4i+YswstbmDwngt59DHJHc88H7VOK9mjzHcOWfbdTxn96AmCy3BuBGAxOojZt+T969TqEaFY2jJJ/Nk5HwqL8em1seFxcwmMvnfIx5asRIXi8KTZk21Z3pSjQTF8NjHOTkGoe02sUufEBAXZ49xn0pZ8bXopKeaOWt41hMkUqjfZmPFOeg3cVnMwmbTIyYHl2Ppv67msyOpoTnwoRHtkCLn7EVZL1SESqrKAoOEbTqH3Jq8qpGa7Ni34ptYZPDeOZsEgtjAz8Kb2XULe+t1nt5NSNxkYNYvrC2lhYmW2m13QwGOcAeuFPNJLXrcqMwiYYKlsN3OKsk/oven1C86hb2cJkmcbcL3NZ1vxjDHKFjhLqzHk7+tZS56iHhw8juT/t2C/albFv4iibIByBSbrA2zQdb6nN1OUGRsRA5VTviupBDHnVrYt8FPFdSbn0k/wCT6DDhtBQ7HbI3zWYn1HqLtbCMkOVKqSe/PNaK5vhY/h3xreIieQ6EiPKknJ/T+VIfw/Z3fUbWWa2eMNG5DIxAY98/rU4nV2dirF0N4ek3tzZLcxzwjJOUcEbce8KS9SlaLVbLKkbRHzo+QXI9ef702nu+pJ0+NTblbXYrIoBGN+4PfNDXMQ6pCb++jaEW5A8VcfxvQEeo9aqkkZtiTqd6j3LeAwUKAD6MfhS8r59MjeJ6ZFRuYZC+pnIJbPAxVSTmJgrKWAOdyAaoyYbHGE3CbY2xRTMZBH4e7A4UEAAYGTvQsU0koDx20rg7bVKG7JVckROnvK470DDVJUMhYqwdhgtkH7c0IWXXJwysdiwoeC4heSTRJq27HYVS05Y4A0nI3zW0JdcTxvmJS7jOD+9DxjKkKMD41MMrgkDBJ32ryKMl/K4A2OO1JQtezcfhrEnQoWZPD/ivsBx7tNDPaxHzy+bH5jsKykcy2nSbNAThpZeP+NVm7XA3rq8dJyuyVezWtPBjLPEBjOQw3+VSt7mEnVbyrnHrvWOa8jUZP6VE34X3Nvic7U7qc7YqT/RtWZSS0j/UmlnVOqLC2I7plKDfz4LD4Gsv7bcZ1CYnPZhmqZX1sWk85Pr2qV+RZ0PM9jPrNzb9QhtZ7m40MFYZJ97B+/6c1nZeneVJkcMjnYg7D0q7qj4t+mlcI2iTAzjbVQ1v41uB4EjlZNmxvXI09bTC1naOEIijLvhyCRqXn7VW8ZmfUdIIPlb3e/B+mKvnkYE+MSwYEgnihGm8wwdeOCTwKM6LPYevhhsPnnUSnI3rxprBtminYHuZBn9qGE8KAmSNnO2CGwAPlU47a3wGnkIQgny8mqzPRaekaDpPSum3NsZZTLEQdQAcDj/BRaJ0mwie4itFlGzqZmLZ5/p6Uus77p3sqokUiebRl5Cc+pwOav6rd2ATwo7dTHnR754GTwP83p0kjEb38QpcFo5reIn3mXQMccbUAeriFwtrbWyZGMeFnI+tK7uWJ5ndYzH5uxOAPrVbOG45JGABuaG9m0vm6nLJIWbSjY4UaR9qrklZ8efPl5q60tNTHUo1MNlIzip3NhHBHpEqu4GTjOPl/epc50l02BNLpOGxn1FdXrW5kVSA+Tk5XzZrqb/EPFGoubFrqdpZbh9fAx+UfD+9S6TZL0268eG+uEk1ebGnSwznBz22rR9fsUFl/qAjKyqo8Ud/nSDp+L6fQittzXM6tdHZKhoeR9T8GzaI+HIrAgKxJyDWYuDIutBdOYiBiNiSCfX4U99hU2Lz+IE0gmkhtHkgknUlgp3p4p72ClOdCee28YY3xnPHFQj6cu64kOe5xRLXcanG/wBqkb2NMB9S5/3KRV9J4XQRvDbiGHVgEkAkHmhbm2adx4/mIGBkdqPs5PGOYoWmB28ilv2q+7EgRc2Nyn/4sB+1LocQkitjbv8A9IlcHZdqg2y7wyc77b5o5b2NGKEnOPdIOarm6lBja3JPqR/etoHIIWj8qYPiMPT+VXI0o8pDcdxUZZxJpJjXWNww2waJS6kaPw3YOPic0rei4Fs2OiWAfYmSbA/8KHZGKnQCGG+3eiruEXfR7Bo5NCq82c8/kquIYTTlc4wcd6XQqdKY0dwA2oNjc42qRgkHbPx4ohAjfv8AOvROC6JKAFf3Qds0vOjcQE5WTzZA9Mb146931bnPGMCmEsCkq6uVYHj1qiSOXUrshwOxFFXT9IVzgP1Dy2dkjKuCsmMpnB1Gl8RMUuWfUDzjy537Ux6rP4dtYalGplcjHA81BtPHOoQRkOp5O4+gpu/qFZK5aSSN3Qgk8scf4KVspLkgY7EUe0ulTHLlQNgA2MEetCyTI3YYzux708JhiSvQZJAun3jj3sCjpbaWOIkBZA2wCEmrLPpd7Ki3cMDtCBswxuf515P1ZkXRFHGWU8sM7/fmqD4Qit7lDGptyrEggY3rydZAxyDHljs3O5o78OzCTqjTdRk8gjIVpDhVJ4+VQvlWSU4ddROPKQQKDF4oVogaUAEjnO1M4ekwzOJEkdgcELjcfyrzp1thgVVXfxNDZOCBjJOeKJW+lha4hiZYon9xlByDtkZ+tTe/DKAad5rdxGCHHYjg10DgsNZEeCNRZgq7/eq1bxSC5cMzZyfTNU3kayzeIJASRhsA5FTSTZFKeQ0uZ40RTEkbhj7yeYH6jmupdZyS2CF8ZEn5Tn711K4W9FOMmv6H11bqC56dPcJMvhZjYtknsVoKG/FhI8cZG77+G25HfFOBGvbPmGMAY2oSXofT53JkDazuGDEfzock3p1JYh/a9MgHhrJDJIwAwJDqH9P0rNdaENjeSxo5Ks+ThsAZ3ApwsZ8HwzNO6adH/WbOPvS2foFtLH5JHhBHusNQP3NM2mBJndBjgSWYW2hLjSGyAC2O+/zqXWXgktj7V/HP+zHf4elBr0TwbgzRzmNtJGuORgTQl5YG6UeNcynyhffI1AVuaQeLBbO6W1cQWs/hyZ1By3ukb8U2terPdxRPG0aTM4DGNdJ39ccjNJI+jsNJtZBK35QNz6VXH0nqVlMDE7xuDnDRnGaflLE40a6WP2rT7U0dwclcTIGI9cEb/rS28/Dds2pYroW1wBqaGRcrn0B5G3Y5qVtP1GOIobW2Y4Gyudz8iO9Uxz+0XUazuBESfEgfKs2xGzev1rO5QVD+iAFDpEjMN8HC5AFMYvY8BUljbG41RsCf0qd7ZRHSbWAx4JDZcsD8s0EkXmKpIpYHcEildSzOWPlKSdFtXRVRRLMNx/29qDkKpkqMH7VNyYukWBmQg+JNtxt5KuWS2ki3XR6DVRTUmS6FoZVJ0g1xcFgSoJ9SKtMLTZeAErnY4xQ8sckecj71aakWoZZ4nxrwtkVUj5PY1fEkkj5iTOBv8PvTtoTGdfRRydNtHcBiok5496o9Mht/Dkun0tFEuSARnPoB64pyGs4OjxQ9RQhmDng5C57Vkz1Bh057aKBY0kbOrkkZ4/aoUuTGKDqk6nNPcQN4RnZnVsgLkkgGj+m9P9vvyI3i0outQ+SDvxj0+dLEDMNySDjO/NFQQgP4iFlcd1JH7U7ZkjVXd31eGBC1qUgVlzLHgqwHPHbP/qs/1KCQzNcNYmEXEhaNmAJY/AZ4o6K66hHaNAk7FSpXGkcGqreC8jczkuzKS2JHDAfHcbUssZoBa6mjsfY4kESuQ0pYHUxztn+lDxXkcetWYqTkDIOR8aarZG8kaRsM7vqwD3+1WR9N0akZ3iAHutGCuc96Z2gcWAWt8sQeSNdTEeYsxA55PrXuoXDu6IoZve+ffFcejSwFhnxFJCqU3/8AXaif9JKsCrAdmJ7VK7lfSd0ksZRNDP8Aw1AZlyN05HzolBcrb6bW2kUZy0g5+Xy/vRcZWJcYdz2JGBXPOJFAyuoncKds9hmoLyv4SisFg9oXzlQrHbGK9qySHgOmW39w8Cupza2bQ6wSME78H+Veh8gBxsQdhvQ8k0MIz5yc/eq5bh0bKrpUmufkz0sCBcBSRxgHJJqqXqPgsToYjGTvt9Tihn0vsMEk/avE41E6T3+P0puTNxRCS9nuGOJVK490H9hQ0kb5wW0k9gpGPvVrx25VXfVqc/kyCarhkvVdjF4zxr2O/wCvNbGBMpfpyBFfeMq2xR8D+1G2fWepdNiCzuby2DeYPu6j4HvRMK3l0q+0NHHgbZAGr4EA5qt7QxeRzqTVgNp+Pz2rK2guUx507qfSuqR+JGsS6fyyKAft/Q17PBYMAS1mFJ4VcZPw35rOpY24lBUuh/McAZ+1WSxgOq7sM+uRj40X5UL/AG3+y+9/0drYmB2SZl2XJH3B+1Z28tZZGGiFVOM+ZcZFN7gQsPD0agykZ/TFV9ItIbieS1vSXSJNUQRyAAe/woy9fQWsXYNLDK3RrFXTBV5+P+H96BV5BsuExvsa0nW7NYbWyit9bIDIfMSx/LSSXOT5QN8cbVblhEqgupY5dMbYDchqKlfxvDVoyVzv2+9DIFDFlXDY2J4qaMkOUA1M2w4x9qSq71A1v0RNuk24DRNnG4yGorAjg0ImlAcZyMk/Gh18rszjykYVc7n/ADaoiZS42wBsAeflW5tvGZbuFnX3uE6bbMi6owrK0nYAtsKzThTbLjAbNPuv3UqdNtbZNIjkDMdXOzbVni+pMOAR8K6JRmWWVnd3Yb2a3mlC8lFyPvTuDoXVoIy0kJX0Gtcj9aUx9Unt7Z4YGdQQAoyQBg5rcxdWsLizjvhN4byDGC4yDjOCM/P7ULdIM4Z69ivLKEOIt1HmYEEUDcdXuXhEORpI3AFPLv8AEFlJbz2sI9pnKlc4whyOR8qyRWRWI32+NCO12Gn+hpbdUeBVzHqB9Kdv1GYxECFCpGPe3rP2oVrNmcrqBxvRIluYiFJwvo29LdNfiK+XwYLcyy22q2iZwo8yqO/woM+3mbAVlU7Z00wsboTY8SQKBwoU/wCGrHikIJQKytxtiuN3j9HP5PG12DuXFssc6FidtWe9BsGRGyQiZ9OaOEEoOAxwec9qomjVmZWJBG5zsKMUkTdP6hdFfiK4klNvJKx8o83A715XSmGN8MisDk5aurrVLB15Ef/Z</t>
  </si>
  <si>
    <t>Thepulangoda Waterfall</t>
  </si>
  <si>
    <t>It is not far from the city. The road is quite narrow. On rainy days there are many streams. It's a popular local spot for a refreshing bath or swim.</t>
  </si>
  <si>
    <t>https://encrypted-tbn0.gstatic.com/images?q=tbn:ANd9GcQdJAi_d8Qquehxzv7xb71r7jJW4fBIOMGxc1YjXGDIlA&amp;s=10</t>
  </si>
  <si>
    <t>To Sripada</t>
  </si>
  <si>
    <t>Pilgrimage Climb: Climb the trail with pilgrims. | Sunrise at the Summit: Watch the sunrise from the top. | Tea Stops: Rest at the tea shops along the way.</t>
  </si>
  <si>
    <t>The religious places in sri lanka. The Beautiful place in sri lanka. I most loved place to visit. It remains a relatively quiet, less-touristy spot.</t>
  </si>
  <si>
    <t>https://encrypted-tbn0.gstatic.com/images?q=tbn:ANd9GcS55poETLn98DBNDlmYYEnkmTv72MwxVB4nVY5ogEKvBA&amp;s=10</t>
  </si>
  <si>
    <t>Tomb of King Vijay</t>
  </si>
  <si>
    <t>Historic Site Visit: See the site associated with King Vijaya, legendary founder of the Sinhala nation. | Legend Learning: Hear the story of Vijaya's arrival and kingdom. | Photography: Capture the site and its surroundings.</t>
  </si>
  <si>
    <t>Sites in the Kurunegala area associated with King Vijaya, the legendary first king of Sri Lanka according to the Mahavamsa chronicle, form part of the region's rich store of early royal legend. Local tradition in various parts of the country lays claim to sites connected with Vijaya's arrival and reign, reflecting his central place in the island's founding mythology. Details on this specific site are drawn primarily from regional oral tradition.</t>
  </si>
  <si>
    <t>Torington park</t>
  </si>
  <si>
    <t>Park Walk: Stroll the park. | Jogging: Run the paths. | Picnic: Relax.</t>
  </si>
  <si>
    <t>This is a well-known spot for both jogging and leisure activities, conveniently situated near Independence Square. It's meticulously maintained and tends to get a bit crowded during weekends. It draws a steady stream of local visitors, especially on weekends.</t>
  </si>
  <si>
    <t>https://encrypted-tbn0.gstatic.com/images?q=tbn:ANd9GcROiTVHHX0vK7TiVjKlgTd4uLrbXZzPiGa9DydQq8LuKA&amp;s=10</t>
  </si>
  <si>
    <t>Traditional Village (Ape Gama)</t>
  </si>
  <si>
    <t>Village Walk: Explore replica mud-walled huts, granaries and farm tools of old Sri Lankan village life. | Traditional Food Tasting: Try authentic village meals served in clay pots and leaves. | Crafts &amp; Culture: See traditional crafts and cultural displays that show rural heritage.</t>
  </si>
  <si>
    <t>Ape Gama ("Our Village") is a recreated traditional Sri Lankan village attraction that lets visitors experience rural Sinhalese life, architecture, and crafts as they existed in past generations, typically featuring thatched-roof houses, working paddy fields, traditional cooking demonstrations, and cultural performances. Such village experiences are designed to showcase folk customs, farming methods, and cuisine to both local and foreign visitors in an accessible, curated setting. They are popular half-day excursions offering a taste of countryside life without leaving the city.</t>
  </si>
  <si>
    <t>Turtle Bay Activity Center</t>
  </si>
  <si>
    <t>Water Activities: Try water sports. | Turtle Spotting: Look for turtles. | Beach Relaxing: Relax on the beach.</t>
  </si>
  <si>
    <t>Me and my wife spent a nice dayfor snorkelling with Oska. After snorkelling there was an excursion to the temple and rice plantation in Weligama area. Oska is super helpful and passionate about his work.</t>
  </si>
  <si>
    <t>https://encrypted-tbn0.gstatic.com/images?q=tbn:ANd9GcTtRZYDtTRlVJFD76YuBYo31ZVRtU9MRU0gJCp3xs7Etw&amp;s=10</t>
  </si>
  <si>
    <t>Udawalawe National Park</t>
  </si>
  <si>
    <t>Elephant Herd Safari: Take a jeep safari to see large herds of wild elephants, including young calves. | Elephant Transit Home: Watch orphaned baby elephants being fed milk at the scheduled feeding times. | Birdwatching: Spot eagles, bee-eaters and peacocks across the open grasslands. | Reservoir Views: Stop by the Udawalawe reservoir to see crocodiles and water birds.</t>
  </si>
  <si>
    <t>Udawalawe National Park, built around the Udawalawe Reservoir on the boundary of Sabaragamuwa and Uva provinces, is one of Sri Lanka's most reliable places to see wild elephants, with resident herds numbering in the hundreds. The park's grasslands and scrub also support water buffalo, sambar deer, crocodiles, and over 200 bird species, and it is home to the Elephant Transit Home, which rehabilitates orphaned elephant calves for release back into the wild. Jeep safaris are the standard way to explore the park.</t>
  </si>
  <si>
    <t>Unawatuna</t>
  </si>
  <si>
    <t>Swimming: Swim in the calm, reef-protected bay. | Snorkeling: Explore the reef near the rocks for fish and coral. | Japanese Peace Pagoda Walk: Hike up Rumassala to the white pagoda for views. | Beach Dining: Enjoy fresh seafood at beachfront restaurants at sunset.</t>
  </si>
  <si>
    <t>Unawatuna is a crescent-shaped bay near Galle long popular with beachgoers for its calm, reef-protected waters, making it one of the safer swimming beaches on Sri Lanka's south coast. The town has a relaxed backpacker and resort atmosphere with beachfront cafes, guesthouses, and easy access to Galle Fort, snorkeling spots, and the Japanese Peace Pagoda on the headland above the bay. It remains one of the most visited beach towns in southern Sri Lanka.</t>
  </si>
  <si>
    <t>Upper Rawana</t>
  </si>
  <si>
    <t>Waterfall Viewing: See the upper falls. | Hiking: Hike the trail. | Photography: Capture the scenery.</t>
  </si>
  <si>
    <t>Worth the effort to get to. It is a bit secluded place, really hard to get to as the hanging bridge is falling apart and trails on both sides are fenced. But once you get there you won't regret it. Visitors are advised to take care underfoot, as conditions can be slippery.</t>
  </si>
  <si>
    <t>https://encrypted-tbn0.gstatic.com/images?q=tbn:ANd9GcSBaPmSjrQbulCWPEohgPPf9sbL5kYeBT_C59vrOEqlZQ&amp;s=10</t>
  </si>
  <si>
    <t>Upper kothmale reserovir view point</t>
  </si>
  <si>
    <t>Viewpoint: Enjoy views of the reservoir. | Photography: Capture the scenery. | Tea Views: Enjoy the tea estates.</t>
  </si>
  <si>
    <t>The Upper Kotmale Dam is located in Talawakele, within the Nuwara Eliya District, in the Central Province of Sri Lanka. The dam feeds the third largest hydroelectric power station in the country. The spot is also known for its scenic views.</t>
  </si>
  <si>
    <t>https://encrypted-tbn0.gstatic.com/images?q=tbn:ANd9GcTeYy2sPMC-ciNwCxuyE97Et48499FShTzVm3eeTajW5Q&amp;s=10</t>
  </si>
  <si>
    <t>Uva Halpewatte Tea Factory Tour</t>
  </si>
  <si>
    <t>Factory Tour: See how tea is processed. | Tea Tasting: Taste fresh tea. | Tea Shopping: Buy tea.</t>
  </si>
  <si>
    <t>Wow! I just visited this awesome tea factory. If you love tea and are curious about how it is made, you need to visit this place.</t>
  </si>
  <si>
    <t>https://encrypted-tbn0.gstatic.com/images?q=tbn:ANd9GcS_DGn6f6Fgr_YKDIyWcZpUXoaQyVDE0YIbGHzO4Lni-A&amp;s=10</t>
  </si>
  <si>
    <t>V.T. Nanayakkara park</t>
  </si>
  <si>
    <t>Park Walk: Stroll the park. | Picnic: Relax. | Kids Play: Let children play.</t>
  </si>
  <si>
    <t>This is a small botanical garden in the middle of the Matale town. There is a big Elaeocarpus angustifolius (also known as Rudraksha) tree that has bright blue colored fruit. This place mostly used for wedding pre-shoots and things like that.</t>
  </si>
  <si>
    <t>https://encrypted-tbn0.gstatic.com/images?q=tbn:ANd9GcQcQ5sYOPOWmcrP_RurccdbJ0APIUt7YWlLlNSX3xlzYg&amp;s=10</t>
  </si>
  <si>
    <t>Victoria Park</t>
  </si>
  <si>
    <t>Garden Stroll: Walk among colourful flower beds, streams and English-style lawns in Nuwara Eliya. | Birdwatching: Look for rare winter migrants like the Kashmir flycatcher and pied thrush. | Family Fun: Enjoy the children's playground and mini train rides. | Photography: Capture the colonial-era setting and seasonal blooms, especially in April.</t>
  </si>
  <si>
    <t>Victoria Park in Nuwara Eliya is a well-manicured colonial-era garden known for its cool climate, rose beds, and streams, sitting in the heart of Sri Lanka's hill-country "Little England." It is popular with birdwatchers, as migratory species such as the Kashmir flycatcher and pied thrush can be spotted here in winter. The park's neat lawns and flower displays make it a favourite stop for visitors touring Nuwara Eliya.</t>
  </si>
  <si>
    <t>Viharamahadevi Park</t>
  </si>
  <si>
    <t>Morning Stroll: Walk the shaded paths among flowering trees in Colombo's oldest park. | Golden Buddha &amp; Town Hall: See the large seated Buddha statue and the white-domed Town Hall nearby. | Kids' Play &amp; Pigeon Feeding: Let children enjoy the play area and feed the pigeons by the fountains. | Picnic Break: Relax on the lawns with snacks from nearby vendors.</t>
  </si>
  <si>
    <t>Viharamahadevi Park is Colombo's oldest and largest public park, laid out by the British in 1864 as Victoria Park before being renamed after the mother of King Dutugemunu. It sits opposite Colombo Town Hall and is known for its wide lawns, a lake, a Japanese-donated Buddha statue, and its many flowering trees, especially yellow trumpet trees and flame trees that bloom in April. The park is a popular spot for families and joggers and hosts an annual flower show.</t>
  </si>
  <si>
    <t>Wadakada ella falls</t>
  </si>
  <si>
    <t>A very beautiful and peaceful place. Can be reached without interruption. The water has become polluted due to construction work. Visitors are advised to take care underfoot, as conditions can be slippery.</t>
  </si>
  <si>
    <t>https://encrypted-tbn0.gstatic.com/images?q=tbn:ANd9GcQ1ueuxthaTCpjP1jzUh2foAJdqQDv0h86mdT4IUPuMcA&amp;s=10</t>
  </si>
  <si>
    <t>Wadinagala</t>
  </si>
  <si>
    <t>Rock Temple Visit: Explore the shrine and old cave shelters at the base of the rock. | Rock Climb: Scramble up the rock slopes for open views over the surrounding forest. | Nature Walk: Walk the quiet forested surroundings and listen for jungle birds.</t>
  </si>
  <si>
    <t>Wadinagala is a forested area within Ampara District near the Gal Oya region, part of the dry-zone wilderness that connects several of the district's protected areas and archaeological sites. It lies along routes used to reach nearby hot springs and forest hermitages in the area. The locality is known primarily for its natural, undeveloped landscape rather than a single landmark.</t>
  </si>
  <si>
    <t>Waranagala waterfall</t>
  </si>
  <si>
    <t>If you are hiking sri padha. This is a good place to watch in erathna sri padha foot path. It is not a big fall but beautiful. It's a popular local spot for a refreshing bath or swim.</t>
  </si>
  <si>
    <t>data:image/jpeg;base64,/9j/4AAQSkZJRgABAQAAAQABAAD/2wCEAA0JCgsKCA0LCgsODg0PEyAVExISEyccHhcgLikxMC4pLSwzOko+MzZGNywtQFdBRkxOUlNSMj5aYVpQYEpRUk8BDg4OExETJhUVJk81LTVPT09PT09PT09PT09PT09PT09PT09PT09PT09PT09PT09PT09PT09PT09PT09PT09PT//AABEIAIoA9gMBIgACEQEDEQH/xAAbAAABBQEBAAAAAAAAAAAAAAAFAgMEBgcAAf/EAEMQAAIBAwMBBgQDBgQEBAcAAAECAwAEEQUSITEGEyJBUWFxgZGhFDLwFSNCscHRB1Lh8TNDYnIWJFOSJTQ1NkRzgv/EABgBAAMBAQAAAAAAAAAAAAAAAAABAgME/8QAIBEAAgICAwEBAQEAAAAAAAAAAAECERIhAxNBMVEyIv/aAAwDAQACEQMRAD8AzGt5i1K2ESDeeAP4fasGrRbPVjIkW8EHZhsDI3CqjJR+mfJdaLsNRt/8x/8AbXo1C3P8ZA/7TVPj1Yvcdyyt0yCOc1I/FsWCg8ZwfhV9kDFuRaxe2p6yj6Gvfxdt/wCstVAX437BIT8q9/GqWZS7Ar14ozj4xZSLcby2H/OX6U2dRt1/KzMfYVWBcgvsWQE/GnFkdlLB+BVJoMmWE6sv/on/AN1cNWQnJhcfA1XhLKuQQcY6mlCZ84yM06Qs2WMarbkZ2uPiKUdTteOTk/8ATVZ/EtnyPrivBLtm7zjJGD8KeKDNloXULc8mQj5Glfj7Y/8ANH0qs/icjoKba6YHgCjFB2FsF5bH/nLmlfioD0lT61TzcynoR9qaE0uTlsj2NGIdhdxLGejqfnS856VQvxEnGJHPkKSbyZeBI4bPrRQ+wvrOqKWchQOpNd3iceNefes+luZXOGmZ93q1NvI2C+SSOvNLEOw0I3EIYqZUBHXxUlru2QZaeIY/6hWdszfl8fHn1xXjSEtlvLpToOw0A6pYr/8AlRZ+PFeftbTyeLqL61nzEbSRnxH1HBrzcdwJyM+3FKgzNE/adhtz+KjwRkc0pb+zZQwuosH/AKhWchvCCvAz1PmaXvIJbcuPL9eVKgzNJWaJhlZUPwYU5nAz5etZl35ABz5+pp9b2ZMkSSKSOoYiih5mkA8VVv8AEz/7Ol//AHx/zNDote1FD/8AMuwX/MAaHdstenv+zr200aAGRDlc+RqJLRcZWzOzXVx9q6szc6r5aQOIIyibWAIOThs+fFUOtnjsElhiDPtYKOijPyrDnbpUVGGZW1spkaWZQN5BxjrTUkbO4nMcing8A4J+FWi6s0tot0RYH3Qk07axwmPL5z0JPHlXKpSuh9JUJLS6a6R4kaP+Ft3A/wB6cliuBCRIPDjAPniriYLfHD8kFQwam0tIQQxkdiOma0cpB0IqMcMu1EQYUcck9fKpX4VofEGkY9CV8qL3otojGs9w0ZdvD3nPTn2psxxC3MzXJCt04PLfes5ck7JfElogma5IV1XdGTgnGc1ISTcQO7YuRnATBPrT74jnQyuoH5SU6Z9h70t7iNXEjS4AXiMefv8A6VfHzTQdEWMBHK4WPBznpk/Om5GeNjvj6DJwpNTLYi4QyoykerHANONBIxwJYl6jGcV18XJyTVmUuOCA8ly+SDCeOPy5Oa8N62/DWzKpOMlTk0SWymL7laNvTxg101vcIrtKqY5PByPtVvNEKMQSlxJJKyNDtVcZyOfal97sQFoSBnwkjAb2zRCKBu6ObYlM7uc8e9dt6KLYMmMgMp61jnM06okB54WY/lAx6ZNIdlQq+EyxwWxiiXhVm3oEkQgEgj7UxcW1tI8rOZC6/wAOdxHxqO2di6SFg58XXPhyRgjNeTSDIjCZ3LyfQVMhtoI9jyl9zHIQ58Pn1qNOiCQpHAXRs+Ld1+BHSjukPoGgAd24KuOoHNO/uZl5VHA5yvWo73McIKxQyt5EKN2KVbXtszBe7K5GNrL9OnQ8VEuaZPSRgXMzJ3QEYbwncAQKW7QKjsWVduc+Loa87ndJcJKCke/rndz5devlSLzLW7sBmJ/CPUe/w/tVLnl8JfHQ5ERIn71SQDnPpxSAx3hY5oyoJ4D56dRk1Hhg75VBU529S2PmKRb7gu8oN3Tlevv1pPkbVWGIQlIYRsnIxwAOtNXMgEHCx8dST+uahO0kN1gQkxsudw5wcV7EZMP3kWM56JgnjpzTUpUPGiZPdObVSoUbj19BQTWL5Z7OSNZN43A9KmG5TasdyD3XR8AZH9KGavDBCriElhu/NgfQ1XG90xxXoHNdXV1dBqdW1W9wqxLux+UfxdaxStNttbufDGsIP+bw4I+GQKicMy4SxLGstvcIWQgqOPDXLLAgUKhcj8oC8frrVcXXWiXLzHax9hj5Yro9ZniaMzS7I34G9MfPPp74rLqS+mmbZZe/GQsyMrDkEmukulXILhUxtz1oEb19wk77jkcITnHr+hUGTUY45CA5kKnJ+I8vekuKLZTnJBq8ksryIRyySSFG58GP1mkKttDGO52EEc5fDDnp8KiCw1G+gS7ii7uOQY8bBQfXjFSYtKnjtRNPbphVLl2cscAA9KpcCIfINLfTd53caEqBhdhBweox96d23LQBUllwvA3fy4pUMV7FJ3X7HlaTYr4VxjB8yeK9uJNSiZXdVG6TuwgcvhsE888dK0XDGPpk5yfwes4yIx3qsW8+uDU3K4yXZfnQHWU1DSwLyQz7ZJFUFZThmIzwPSmx2jKyvDPEqGPh2xwMfm/mOnvW8WkqMmmw5cSXBH7uZVI65AJIpiSS9PKyqFA8gMmnDpmqyW7zwXMM4Zd8Srhc+3T4VW31RrkBe9ltpTzjYD4s4IPSpchqAXlmuN6xuXkfr/w92OPjXQXjC7eH8VuZwBwQhU+gBIOf70Aa+uUO2W67xA/UZGT5e9GdA06LW7iZpgjJEq7JioEiMcdD1xj+dY4tm2SQ7dTGP94mZsYEiypiRPfBHOPjQvVb6+hUPbpEFXw72B+XtRHtFp1xZ7FumDxbwIZkJDID1DD6fShAmVf3d5+8Vh+UueM9MenypRT9KbXhPtdQd7WO4u1i7pIv3iKckuBycYxj4HNGLeG1ls4J+6/4yhsAYAHqKq+QzvBIgNvt3AEjBXPvyaVDO8kJiUiMIf3Y3t4APbpUSy8NI4lhn03T3EgYSJIAWDB2HTHv70Ih0aOJkkgnXON/7xfXy614+sd0QjKJB/EcZyPPFMNqElywRnjIPTamAPp/ahRm9NEywJk2lTzAkzR4k56HP0Gf0KYls7iGNY1hVmGSGweT5fyFe2uzl7y5CgDEYjjPHw4+3BorZ3GjtAq3k7xzgZ3hWQH25zW/VCto58neiq3cEnc9yYnBU8SJ1X60q3uYUiEZkMnozHJ/XtRm71i7ExFvoxu7ZWOJdyzHHvjkfOmTdW2oNHsgs0kHP721B2+2eMHP8ql8UClJkFpLViqBvCDyen86eSG3YEF5OCQCMMB8809c9npmuljgUMZRuEcQJAHx8vrUO4025sLtrW5nijYgFg8hBUeRGcqaXSvClNenslsWc92Fc8Ecbf5ihOuxhdOk3BQ+8ZwuPvRSS13qVS94j6MAyk/Q80N7QWl7Bpe+aWOWAyjYytk/3+1EYUNuNaRVz1rq6urQzOrQ5bqFMRIhlkCbyxkcbvoazytBFtDFLHdSxhlciNVzt/8A64+NTOWJcI2ENJtLvU2jVIolj3DfsAzGCOvP386k3+japZqT3a3kvQSRZDbfcHg/Lmh+l3sdj2ptmSVkgkcLKO8OwH35x1NXzUGiiilupJ9qR4kI5GMf1NL+1sH/AIloziTXLYyiNFlB/wArHbz8MZ8jRKz7ObcvqoeJbrLLGpCN9SMr8OtOiTRn7RR6lGGO8ZdnjIyfL/fFWHVGtNV08SiZoljZW37DjPtTjFIUpNntn3UwSOOJ9kcKBEL5U9cEeeevNFotPg2qxVgeuCx8xig2jRQPqbNFdPIVhUcLtXA48+TVlBGcD0zVEjcqRhSzYAHOc4oTqNtDZ2dxcpHvy4chzkZz5elE77aLOUuQoCnnOKHWuoLI7WxXf3YTKsckqR1oAfeyttV06GO8iyPDJtzgq1Z3daK34++tfxcEsLO5jKTrkOeqkDn0rT4VCqyDGM8ewxWba/a2ends4ViCRJKd5QDILZ6n08XOKALTot1Hp9hZQXd5EXkAWPZk5xxzQjtdo6alcC7sLhbaTaVk3RkgnPHwP1oheW1ndXVqe4ClnzlfCA+D9uPvUYagwuDDcJzdo4fHPiC8YPyoAqJ0S4SMC/G7vOjrwhweAD+vOjPZ+LUtPSeOxkhSEZdtyq24gDOf6ZxUrRpRcWLI6grsEqnJJOPzZ+PPwqemnxtZ3qWQEe5VuI+PMHPn79fXIoAf1bWYILCCDVYDObiMkOIwQD64zVO1VpPAjW8PcbVx3XmBnbyOnXPlVs1TTLXU9ASZsC4tlaSNh1APkR6f2odocY1bQri2nhwgDKJVbaQQcj7/AKNAAJGDESOoU7Ru5C7R088ili2Sdu9s2AUdd53cj3XPPyFQUllgklikCmReGIXrj3+hqRp97LJ3kccMaDaSvGOeOD/OobouKsavJ54ZO7kjVt4wFZSMH49M07CkEkZcFWYDPI/KfIAHNW3sfFBqAvI7uNZBEwXBztYHyI6cUJ1zs7b2+vMtruSKRO8IPiwcngeg4FOTpWKK3QClubuErNJOk+3hSEAx6U/LMLm9aK9RxKMZKNgg49OnnTzstobC0dBtlnR2bp/EOAfpQLUO+0vtTei4VpJhI3d7s4YMTj5c01yNoHCmHY5ooHWWCSYYH5zg/wAqnwWq36vHNaOZGKs7pxKgI/NgnkYOdvPr1FDpoZ5NPV22LLhZCD12Fzn6E5+VENLaVL22uMgMIo/D1HBIz9P50J2gaoukOiwx2kEUEsm+FtyyMck0J7d6eZNJkuolPex7c9dpGecgVaofHErFNp9KDdsbK/v9DkttMx37svX0Bz18qa0SUTRu+1ORLa1s1MkeSQT+XHmT6fChnam67u0uLA7e9WRRKqtuC45xn15q7dm9Jk7O6JLLdxg30wLStuHQE4AOOnn8ayS8up7m4uJbgkyyvuf45pV6VZFPWuryupkntaDel7+BbVN0iQBWfIHOenHn0/XSs+rQbZ7aFQ0VyUmTcWLHBbHVP5Vly+GvEQO6ESCBQUlQbQCcHrxn2FaF3c40K2gu2t3idFWTJIX781S9AiudW7RxyxyIqwOZZgeQij19fnVx1i8D2kEVu0kaOGbjwlsY49OaqHwXI9kbUbS2ttLmkigWOa2IBXkryeCDnpzRieBRoCFURf3asSMYPHPyqiwa5JpPaJ4byWS5spSq927FlGceR6kcGr7axRXJuod5eAZjeFiSU8/pjGKohgzspY3sN5c3FzHtjclUO/OffFWaNCrOzHrwKh6TC9tbGKVgfH4T6jA+9T25GPWmIhayd2mTquDlcc+lVG0lMWsMZMbDGABnJOAP7VbL1kLSxMfE8JwvwqlsEjv43AxyPy+VRJ0NKy5aXc95bQnIA5X6Vn/bqF37R7SR+UMpbJ5J6D6A/OrppsysoVAGUSnBwOBVX7ZxlddRzGwVwNnqzDIP2xSnJpFRWyZZSs4jIIZg4yT58KRQ6WdJNXtg3eYSeTBABwCac0zvwEwQCHXBx5YP9/tUO4UtqsB3ZCyspGzgHNLJjcSHp0hsnZDIVMFzkE8+Zz8quvZydZUffghkxuA6En/T7VVVtv8AzM6mdf8Ai7uBt24J/rRzQyI3nPrIVB9TVRkJxomNdwy6JeIOEUuowPPHHw60F7GwXCWJ7tXMPfEFmOccHPy/0qdGga1vYgdpDyLGfXoc89eopvsrObe0eJOd0snGfyk8/SixJWipSJI08yrgtnJI5UgAn9e9TtEg/Dd/c3IZHjRtqEdeM5+Ne6nJC+srGSDKZGyuedpJOPqT9aaldIobmJmz12c5xzzg+XBrKcndGsYr6WjsHtkt7orIBO0veAYPKnHl8j9ai/4jXz2LW8kagkggNnz+FM9jpmj1JiWJZlIx6jg/2p//ABDt2MUM8qIV8S+4OQf6VoqktmfxlQt5Jfwa6ld5dBLtUB/Tk5HXgelOaxeJcNaag0Kxzom9Wx6McDzyKU5P/hWCAIFd5HbJ8z0++KhSoZ444imVt48bvMDP3GSab0hLbDRvkklxJPtdbYKo2cIfLOPLyojq9zLY9nIJWdTcSFYluIPCShGcZ8x7Gq5p9uq3tqkq97HMSMvyNoIH9DzR/V7Yz6Bp6wRqVhJkfbwWG4A4Pl1poHti+zvaC/j1aKC4eaRG8CxF8jnofOtKhfvIlfaV3DOD5VlmgQh9chaIHYsoBMn8PlgVqq8KB7UREyHqtrNdWciW7IspUhS4yKxntNpTaelwsqZZZFG8HOTzn+lbmelZj/ifbwxwvKiNudlyQvhz8aoEZka6urqBHVYZ1nmDXMoV1xnarjHxqvVZbZXkt5VjaMJ4nWJ3wfhjjyNTIuH0tHYuwlTs/f3EdvKGudqli4KlfYDnofOvNRuHe2sXlKFYw6AMCDgcEj0oh2Z1FLPs9aySZIl3Kqr8fSh/aI3EOlm7EQbbJhFyRjk/Xz+tD+C9AOtAy3UhZuRhlHlu9T8qu+kak41DT3X8l1blWP8AmZeh+Q4/2rPNTe4OJWk/dyOeVXyx9/8ASjNs7RaXatAz7bSYmRsEFc+fw4Hn50ooqTTNTnlWCSEMvDtjp04p+3IMZwPP1qALiO6srSZAXWTHJHqKfsyYoXeQY86szI0sQk1CadgchNoFVLUN37VjRCANvJ9xVtMhmuI3B2qQcnPtVQ1xiNQ3oONvTPI5qWrGtB7TQqR5Lc+ZX3PWqz2vmkTtCoiVmwgQZ59xirBokgKrySHUcZ6UP7aieK8tpkk2bfCOhyfP7VM/g4vZD067d4ZZBEUOYyFbnHUfzrhPCNQsTIDhmOcdRz0+XNR9EL3EtxJNIxG3dy3Q58qVu/8AiVjGzo+WIyRk9f50sbRWWxmS4hW9uQNoxKwBB6jrzRfSpWLFy6lTKAfCcL1qpancD9oXZjOF78hSAPXzqw6RILZ1hUtLKXBx8RgD7UowadhKd6CLSPAbp2TwNkxgL8c59PKhOiloxH3bLumYlt2M9DnOKIakZLexuWVWZdhHUdTVd0mWQyhNhVWiwDjGM+9ViK0N6vhNVSWJgNgHhzgsMdftUadyUVi2WLbQx6E9cZNNa3cIl+yyZVlAXOfn1+dFJdPT/wAICSa4YytIJlQjIRSowM+fT70sbex5UFuxNnc/i2mmMZyNoCsD5/r6VZ+1tjLeaI4VN7IwkGPLH+9VfsCAiAyHhSCnH+bO7P2rQZFP4MoDuzxk+laLRFmVajbNCljCY0CGA4G45yRyfuaGXUPeXYjjTP7vdheMkHgVYe0EUces228kd1naOnJqvXE2y7ZAh25PhA45OamWyk0gjFalli3BlMK+Ekg84FG7kRjSo7d8BO6x9Tnig1s7TElVIIzjjj60/qkU8gEMQ2BFCkhs+VTTHkhXZFnk7S28KHCR5b2wAa1aqB2O7N3NpdreTt0HTOM5q/1cVSIbtnkjhELHoKzz/EaOOTs5NcJuwZkxk8cmtCljEsTIeh61SP8AEm2Fv2Pm255nj/nVCMdrq6vKAPR1oncpvhi8ZLuRleg6D/ahg60TlvIzD3NurMQxwzeYqWXGi1abHt0iBUmbcvAQnge/1NE9Sdf2P3YjDpnaOehOP186D6XcNb6LGJwN8p3LhQeM/wC/0qTdSyJoIMG4+IliVPpx+veihNgbUYma2VtqgoRhh15/RqZZNN+x3gh2tHJgMd2SV6j7ioN25eyCIT+TAGOpBHr6VM7MNGP3jsSYlyUxkYPUH0oQWaNoayQdn7dJjloz6USs50lhYglgCRz8KH6de/i9KDFcNsyFHT4U/ZIBanC4DN0B/XlTJEtIgmwpHuMdKpuuSyfjyzDOSDwM8VanH/nQjsCc8mhGq2csrEwxnJOenQUAPaCQ4i7pQOCGB60M/wARIWeWynj3KyqQce/l9qPaLp7xqmVYetI7YW6TT2/esVQKecUmBVOzkTs9wCqktEcjyyDU/wDAk6nbqWOVySfLr1qw6Jo8CYePu2X/ADA5Joi+n2yXaEyqMfw55FC+AZrdaPO1zJCkDblkyGI4IzVq03T50Iyi+E4U4yQMeXpzTt7qdtaX3dgRzorbh6/Wp0XabTUTd3Lg+w5pZIBifRp7izuVkQEnO3HHzobpvZy5i7sAK8YGT67j51J1HtS86tFbKEB9TzioVp2juLd8kK3qTSzQAnVdGEGqsbyFZ4OCAp4NTL640q5sXtxZSxEgAEP6DHNL1LWprxslUCnrgUNI343eZ8x0FS5/gB/sz+zIpgsc08bsqgiTBU496uiRxupYMCjYxg8VmUJxtx167ulEo9TuYIikcm4HjBPSmpgHdds7ZJ1l7tGIHOec1VWkt4LrvlgicH+BxwDTtzqTTwmNg+4jksTj9YoaWA25O4kdAaTl+AHrLUtPjKme2GR5p5VMu7uynbFuhQk5yTVXgePcO8ztzzipcRjVuVYg+XTFCkwLbpT3MeE73CHpk5o4khx4nQ/CqZZXe+MxAYx6nmpMeoSW+BFICG8iOlaJgW1pVX81VH/FB1fsZNg9Jo/51Ph1QOh7/jC8eWflVc7f3Pf9lJf3a/8AFTDI+R19KdgZSa6uNdTA6nA/hIGB6+9NV6DzxQBbezsRjtO/c5BG4DjH0+INGUmUaZKlwDJIAQFLY+3l1FVXQnlkkEQDMBzk8gelWqwhmnEu7BUEDnzpAAki3Jg8DJwMdKb0SSW1vfBtMcnhKt0PP2q1jRJHVxEpbnOAP60nTdLkjvFhSMkq37wKBk/Wp3YFl0ZZIo9irhD+X2/RozbwgR4HryaetYAsKbowjelSAAo4FUANSzjadpOTur26gEWCq5x70RCqDkVCvpolAV3CsftQA9bTIyhSV3e1N6paR3doySZAHPHWgX7XazfPVHPkfOkP2tCk/uGIA42nGT96TaAGjUL/AEnfGkWY8eIEYI9KFXGpyzuXMj7s8AtmkaxqMuoPvk7tCD+VeuPc+dDCfCRtBP8AKsJN+CskNIJCfU+nGaUGI2q2ePKoWTt3A4HUk0sOWXfkn3NQIkMSDyQfhSSx+VIEpOMAkV6hLdOBmmA53nA9fjT6uMEAe9RlG4gDG4A1IsnCXA3hXHTBHFUA/E+1iPCR0pMxYDcfL7CvDIFOC2fIEU3O+AVzkY9adFDUs5KqATtBOMU2HZiM+frzSCTk4Oc+tK/KcZ8vKkhMf4YgcAD706j8/wB6io3nyPgKeRucsR8atICbHKUOQQDS+9O4bCdzdMc5qLywyviHt/aktIdu05xnp05pgTDdSj8sm1h7ZzQntNfSydnpYZCfFInBGCOc060vOATjyFDu0UofS2HnvBzVL6BUzXV5XVYzqUq7jjnmk0Z7MAHVI8jpmgC19l+zVytqJpWS3jlXJ3kZq02mm2VoXb8UnA6ButUt5pTqRJlckNgeI8UpHfbL4m4ZfOhiD+o6ubV3jtpWUvwCeoFSND1myhkjleM94xKvIeSPTNU+85EZPXC8/I12mMTIgJODnPvUKQrNLu+0sML7Y8OB5rzn2rrftEj5aSNo1AyQy/WqS3NtITyRLj7UzCSVfJJwv9qpMoud3r7ZJhbwleN2AaCXOrzzTF9zIOuM0Iuie7jOTnaOfkK86jnmpkxMnvcNLCzNu2k8E9KgTlsEjlR50gE7X5NJP8P/AHVkxEdt1Ntg/wDd60pj4iKbfrUsDxi4YFuQfhilLwo4HPmTSPX516CSBk5zRQDmcdct6YFeqBtJxx8aQTjbj1rl/MfnTAdjfY3hOMjzOeKdRum3IHX41FP5BT0vDDH+WmgJCyIM7gDxj3HvTbMpHJpuHnvM0tgOePOmA2xx0H1pK9ck5PTFJ/jPxpRpgOAKF5bHvToY+X0pCgHAIGKQxIXg45qgJI7p/wAshjkHr0NeOZR+ZwfXBpmckBSDg5HNIZjuTk89aYxbHJwc4obrZH7ObGSNw5qeT4hUHXf/AKe3/cKaEis11emuqij/2Q==</t>
  </si>
  <si>
    <t>Wasgamuwa National Park</t>
  </si>
  <si>
    <t>Jeep Safari: Search the park for elephant herds and sloth bears. | Birdwatching: Spot over 140 bird species including eagles and hornbills. | River Views: Enjoy the scenery along the Mahaweli river.</t>
  </si>
  <si>
    <t>Wasgamuwa National Park, straddling Matale and Polonnaruwa districts, was established largely to provide sanctuary for elephants displaced by the Mahaweli development project and today has one of the highest elephant densities of any Sri Lankan park. Its forest and grassland also support leopards, sloth bears, and rich birdlife along the Mahaweli and Amban rivers. It remains less crowded than parks like Yala, offering a quieter safari experience.</t>
  </si>
  <si>
    <t>Weherahena Poorwarama Rajamaha Viharaya</t>
  </si>
  <si>
    <t>Tunnel Temple: Walk through the underground tunnel shrine. | Giant Buddha: See the large Buddha statue. | Mural Viewing: Admire the colourful murals.</t>
  </si>
  <si>
    <t>A very important religious landmark in the down-south region of the country. Most of pilgrims stop by. A well maintained temple with a huge buddha statue. It draws a steady stream of local visitors, especially on weekends.</t>
  </si>
  <si>
    <t>https://encrypted-tbn0.gstatic.com/images?q=tbn:ANd9GcSYrhRsNO5aY4Avq-1bct-_M9AMPh1rosSamhgjwbGX4Q&amp;s</t>
  </si>
  <si>
    <t>Weligama Beach (surf spot)</t>
  </si>
  <si>
    <t>Surf Lessons: Take a beginner surf lesson. | Board Rental: Rent a board. | Stilt Fishermen: See stilt fishermen nearby.</t>
  </si>
  <si>
    <t>One of greatest beach in sri lanka. Here you can do much more activities and sports including water sports etc. We stayed at weligama bay marriot hotel situated where right infront of the beach. It's a popular local spot for a refreshing bath or swim.</t>
  </si>
  <si>
    <t>https://encrypted-tbn0.gstatic.com/images?q=tbn:ANd9GcTxJ-5KVkgExDOJ5vsom4WApu97bHg7gUA2CCjElLPwTQ&amp;s=10</t>
  </si>
  <si>
    <t>Wewala waterfall</t>
  </si>
  <si>
    <t>Not crowded place. But nothing to feel special one in here. You can see waterfall in here, but there is no water in fall. It's a popular local spot for a refreshing bath or swim.</t>
  </si>
  <si>
    <t>https://encrypted-tbn0.gstatic.com/images?q=tbn:ANd9GcSI_jjTnMK6idbuUtdAuj5zh10_r2IUWVSU80NfDWRs5w&amp;s=10</t>
  </si>
  <si>
    <t>Wewurukannala Buduraja Maha Viharaya</t>
  </si>
  <si>
    <t>Giant Buddha: See the 50 m seated Buddha. | Hell Tunnel: Walk through the tunnel depicting hell. | Temple Worship: Offer flowers.</t>
  </si>
  <si>
    <t>For a buddhist temple I would expect to see animals treated correctly. The elephant was underfed and shackled. In no world and no religion is this acceptable. It draws a steady stream of local visitors, especially on weekends.</t>
  </si>
  <si>
    <t>data:image/jpeg;base64,/9j/4AAQSkZJRgABAQAAAQABAAD/2wCEAA0JCgsKCA0LCgsODg0PEyAVExISEyccHhcgLikxMC4pLSwzOko+MzZGNywtQFdBRkxOUlNSMj5aYVpQYEpRUk8BDg4OExETJhUVJk81LTVPT09PT09PT09PT09PT09PT09PT09PT09PT09PT09PT09PT09PT09PT09PT09PT09PT//AABEIALYA9gMBIgACEQEDEQH/xAAbAAABBQEBAAAAAAAAAAAAAAACAAEDBAUGB//EAEQQAAIBAwIDBQUFBQUGBwAAAAECAwAEERIhBTFBEyJRYXEGFIGRoSMyQrHBFVJi0eFTcpKT8SQzNMLS8BYlQ2NkgqL/xAAZAQADAQEBAAAAAAAAAAAAAAAAAQIDBAX/xAAiEQACAgIBBQEBAQAAAAAAAAAAAQIREiEDBBMxQVEiYTL/2gAMAwEAAhEDEQA/AKNLFFiliu2zjBpqKliiwGxTUVLFAA0qLFNimIamNFikSqjUxAA3JPKkBpcFtO3W5YnAMfZgnkSenyBrLKlCVPMbVRv+JuNC8PugFVcMAcBjqJBz49PhVy2MkkCySnLP3q5+OTc2bzilBND0+KRBY6VBJ8BvRMpV9DAhv3Tsa3ySMaYGKWKKlVCAxSxREUiKBAU2KPFLFAAYpYosU2KABxTYo8U2KBA4psUeKbFAAEUsUWKWKAI8UiKIimxQAOKVGUYIHKkKdgSNjT0rAvEU2KMimxUmhHinxR4psUxA4pYo8U2KAAxSIo8U2KAAxUi2VjNEJ72dgI2z2SnmPhvTYqzbG0WIw3CydpcsI0ZFG3x6b/lWHUOoGvCv0Szz8Mv7H3L9nLC0a4QmMKw88/GuT4Xftwu9aG7iEqkbxseviOldQ3udpblUmeScnvO25NYl5FHJFMS4TtXVMhc7k/pvXDCXqzrlE1RxlNMc0sKqsg20DZQDjH0oprm1umVoiNxuPCqEdt2dva26yJNoY6+SkgsTnB+VRSR5it1YFJSpBC/hPOoxTdpj9UXGXTy5GhxTWy/7PGwcuGGQTUmK9PhvBWcPIlkBikRRYpYrUgClju51Dny6+tERTn3dYsl37cnCqBtiplLEqMciMimxRYpYqyAcUsURFNRYUDimxRUsUWIDFLFGELHABJ8qZnRcgsWI2whzg+tRKcYq2XHjlLwgQMjC51de7t86ZgFGSQKjIYv3JGj8F1ch150CI7OQADjkc86531NLR1LpPo5ljGoHMTBsam1EMPIDalT91R/FncyHSPhmlWHemb9iBsSxtHI0bjDIcEUGKv8AFLdo7oyHJEu+apYrtjK1ZwNUwMUsUeKWKqxUR4pYqTC/ibSPGlgbFSCCM8qWSugp+SPFNipDjUFyNR5DPOlpqrER4qO4QMiExl9Bzt/Kp8VFdu8NuWXHeOnJ6bVlzJODsvjtS0VJLgFiEiKnO5YYokt5XjOq3fV2isFCnvAVe4XCXd725C9nGuoAjmR1/OuhiuRbWwGQTjU+N8nrXkLGL0ejTa2YU3Dw43VguTp28z+hqJLCUoIxqkbPdDDV8s8q1bni/fQrLFH+8HYgHwI/eFQX3FYwyPFfWrSeCRtSysTjRlwdqAyTxhHjYoV1ZxijxVmd3u2bOhMyHUV+9j+tTe7JM3ZW6nXtjVgBvKu/i6lRSgzlnwtu0UMU2K6KP2YfEfbXAUkjUFGfhmgvPZsqpa0myw5q/X0NdXejdGPblRgBdTqo/EQK1ouDWrSFZZSXVtnA5L5jNLhthFgTSl+2Ru6vLSQcb1MLZI71p5rrDMc5Vs5Hhiufn5b0jbi462yhe8Ouvf5ljtcBe9iMDTjyxWePWuku78kl9elsgcsfTpVK34ZFcRZmd4pm3LYyuTyBrTj5/pE+H4ZGKWmrU9ncWyu88ZSJW06zyqrJIigCMksT3cjn8OlXLngiY8UpCCE8hv50LPGF7pEjeCjA+dBJISCWbV61VNwBIWYEJ6Vzy6iUtI6o9NGP+iwzysm5UKTyXugfz+OajbGvSME55DmfjVd7uJ3wrkqi5fQMnA/Ib1G3FI4gvZJjfmenlWH6ZusYotSxlSC2ABvjOP8AX4UYjDRaQwUFsZOc86y5OLyyZ0IgPLVpyfmeVVpLqeUntJSduRb9BTxZOaNqU2cT9lNKCw57gClXOYk07begp6MF9DuM9ZvLyCKeC1nAJnzoJGwxWNdRNDMwI2ztWFcX0l2/as5aWNsoeiAYyPPcbVvWt7Pdx6bi3dycsH04AG30rbi5adHLONqyLGxPQDJNUl4hCbh4mGkKpYPnIIHOpuKSyxWv2I+8cE9AK56Ny0/ahwGwea7cq0nzYyoyjDR0zgaDzPpTquPh86tWdk3EcLG+I2UntMU0VpJlxI2ns9skc6tSVhi6OW4lcksHYPHIkgbSSDgfpW1DcxTYUSAvjJGMVRvuCSXcoFmudRLEZ2Bzua0+G8BvLSz98u1QdUGd1U881lFuMtlNWhyoyAWCjxNHfxr7usILaA2c6cZ9Gz+hrCuLiRb+3kLrIhfdo26VrmRHTUi6Fz1bJ9K5uq5W9HR00EtlpJRDYkkqoJGeoIBxiqVxxEyEiJiB0I6Ecj+lFfDXwwLnG6/VhWY8egdQPEdPCuA62Tx3OGXFyY0JJVBHq0nrgnl8xQ8RuI3GVurp2H9pEuPoTUNt2wuoSipr1fiG3r4Vc4s12bZu1e1cY/AVyPlWsVszl4BurNmu5ZY3KkkgAHG/Kit5uIxyrEXV1YhR2o2ySBzo7mZo7uUaMqGJ2NQSXytG2kmORe8C42BBznNb+zNeDpPZ39pW/Fb2C/nBhgRfs+11KC24055DAO3nWve3aPIkUerf7xA5VzXBbyd+IXUl9A6PcxQsNjhiNQOPAcq1GuoyVYx50nI8vlWjdImrFcR2dsj/AGxRTJqxvtqztUMUsDOPc7e5lOMd3IWpGvmY4aGNiSMZXPLl+tV5uJN7tJK0x7KPno5bdKWQ6LTRI8aPxGGKNsnEeoZB6HPM+lE88Cyuyh3ZgARnCnHkay5pWieCPSWa4bCnONvGrEdtcPxMQPEyRBNWvRtn1o2x6IeN3uLBmkm7MNgY3bO+cAUrDh0Ulpou42LyDJZT3lH5VoScNs5o5Yb+JZQMaNe2k45jz351YfskkSU3B7q4wp2p0gv4clxTgnF14sLSwAmiddccmgIAv8ROcHNYV1Y368Qa0uysc6nSTK+V+B5fKvR2v4SqRrqKqNjnGfX6VmXNjb31497LpnRF0hH3AI8fHnTtC37KVpwZF4TFZ3ZjbdjJJGWDMMkhc7bb8uW1c7fcEFnBk3KyZfAX8Q3611Z7C3hCzskAwMFugrG4ha3V3dMeH26yA4JfOAKlAzAFsFjlJycY5+hqvaRH3gaYzg56Vtz8J4hbxNNdOkSHdtCatvKgteHG6R5LSO9vtAy5jwoHl0+laJ6E4sjt0tTIFn1sNGQsQyc5pV1PCbGDhUAn7KJZJgAzYJ354yd6VRQHOyyokqG2hTsz93YnH9eda1hdQWKtPqkJC9m8TMM97z22HhWBdRXA1zFjGq797kc9aIzr2XZBk1uO+c5+NSvFohmxeXdnccNkdIpdcjYVs7Hb6VgWsR7YdsdIU5YBt2x0ppJbnRGjDSsmdBz9cdKksrSG7v0tDKYw50mUjUSarb8ir4dx7CaxwiXWqiNHKxsdtfifTlWoYdczBgCM58c1T4fDFw+witcGfTnLudzkk0farbiSVCyd0nc5A86tWiiW6uOGWTlJAsLtGe8i40jz8N65/hHG75rG5hkEk0g2SQ95QBsARyrI4zdCbiQLSiWFFOPDJ6fP86r2l6be5EiuGCbmM8n8v61Dk2JC4jeXMnGVWS57yOA2kABTnkMCtvTlh9qZSR/vNzn57msbiVukMduTb6BJcF2lwe+TuFGfAV0Xus0cau0EqIepU7VhzvSNuLRHNJAYViDKTqXu9eYqG4g+zO3PI9D4Vbg4TL70kyx7askY39asSWQGRNNFGCMEM3MD9a5Zfw3Ofjt4BpEs+lg47hQ5x+VHxWCyNrJLa3KqV2KOpGfTNbKrYJH9pdduANeQg7uPHyq2LKwubZle0WUOv3lTGPPNbcUZPZnNpeDHlJzI7LkGVlDeJB3FS2XCvfWEnY4iLaWcHT8qv+629wBbyw64lYtz5c8kVNEfcE90tisiIe7muhJryZ0aEBBs3UrqcDYuoyMbYz13qhd8OkZEMUwHfBYMcZHWgkuLhkVmyFJ7p8+oppIZ+1CszAEZyTnHxqrYJBixtob4zvcZTswnZjofXrQJFwuGye1MT3EUrMW7XOD47jFPBZu8i6kfA3Zs7EEUYgPvIhGDGX36gADx+NFgGeI6QoiQADxGfl4VEbyd3wGIyehx+VW5LW2D/wC/UA4yAQaDtLEMwMwklU7aOnhSApMJxMY5GGrJwSeY9aEwmT7ysWOwwf8AvNXxeW6pgxhyRhskVnn2lAvxaLbdjgEqWUjIHUUWgLo4e4i16W1bZFTQ8Mjit5E0pG2SdiM5qit+ZkDJLqB3GGqPtpC5AJOemqjL4GJoyxWc1kYLllLaMZGDg/mazZIWibMUgZT4bEfCglfVA4eURA93JbGPjUvC5reOAGe4Rn3AbOV9M+NClugaIDw+04gh/aSSSDJVdDlez254Gx+IPWlw1W4LC9hHKZCkmrWy6c55fHzrUil4dGWZ7lCzZGFBOAfhVZ5eHa8SPLKOYwuPrV2SFHxGcD7PQg8gRn6mnqB7mwJ2tpCPNwKVK0Gzk1btIxGVyCOR61RSOPWyhFUgHZhk56eVWBI6DOTpAGKqvkt20iaQTupx+VZccWrJY0jSzsIzEiuAqIEGPXHmSa9B9l/Y6Gy7K/4me1vAMqgJxGSDz8Tg1gexfC473jHvUy61hAceAPIV6VnNboBmgt2GlolK+HSoZbCwliaN7ddLAggbZHhtUpoWJ8aoDhOLexskdyXsruIW5OpRPnVGfAHrUcPBLSyKTcQvVaRWDFFXIyPAnf6V2d7F29u8RYgOMZB5VxqT2PD5G0h7i5U41vvpI8BXPyPEuEUzUtj2kassLLCW1dtOxDH0VcEj1qafiUNqmmFvE7sT+ZNc3ecZmmkBaRVz578hVMXMvvCSIkrMGBGpdvrtXP8AqWjaqOn/APEOg6jnSRgZHpUVrH+3I5A8YKhiqyZ0nPgPH41ptbrOTHNGAunYYxTiSGJUSKFVbfAXbHwrSPDXknP4VuFRQcMt9EQkeZh9ox/EcYxt08qmS7Pb9hFb5cLkM4JA+J61MhkKjsoxjxA50ZWUrh3RQRyLAVukl4IYQWzHfklGvOpwOeqoGls4kkDg6Dljtj/v51WnBQ9puIyTg+NQ9i8wL9po0LkMTj0qZTpWxpIOy4zw27LtaxthBo0y7YPjjeg4hxa4tbGSWzjtn0AsQ5IwvwqrwzhMSvNKLhp5pnBlJGBq8B9an4lY2cv/ABMWpI3yVEmAfEedR3NZeh4+grHjT3tvHLqKFo1bYaQM9AQPKpDOzZzn13pPHBI1stjAIoTqyoOwYY28udPJY3DXNuqaRh8sp54wfnTg89h/kryPMQ3YgM7YwDyHyrOg4ZfJxNpzarbRaSpwQdbeO361vzJJYBm5OwABxy3/AKVTtFuI5mkfKnxJrJykpUiqtWGbQ9kXMigqvePIgeNUbbgsM/FO3uuJyNIg0xI6ALjqPGtW5uTLF2TskcZO4XbPxqjNas0hnSXJ54I5+Waqal5iLXskFukd1JHENo+6NJ2I2qSS1lkjmSJS0ujIUczU9g1rH9uRnUvLGwPUb1JLe2plJMW5HLVVwdR2TXwzHgeXhvZzW7OJAEdVbBBx+dWeFx6LOSwks9NsvNHbU2/njNXbOYPqjjCqqnI8STSvy0cOogbbEDf4Vf8AUL+GFNBCkzC3lYxD7ofOofShCqPEn0qaTXcSs+GJ5kacBfSnVFVAz7DoPGmgIe6By+dNTzXEVvgyuiauQPOmpZAc2nexGQNXTzqciS7sw8aDJm7FUC94nA65GOfLFKO3vI5i7Wk+vYgqhOPPaul4Dae8YmuolQJOZAZgUw2FwQvwojozaNb2WsYeD8M0zsBPMdcijJ0bYC7eH61te9xdNR9ENQLPjZbwDyjjFIzjreT/AOXWoExu4/3X/wAs/wA6A3tv1cj1jaoTOOl7P/gpjcf/ADpR6pQBI11asNpVz8R+lclxzhcfvr3MdzAsMm5OjtMHzGcV0jTodjewn+9GKrTxRzDf3WU89u7UyVouDpnJJFZRjHvV0w/dhjEYPwxU8MVhrQvYyGMkZaSbkfTO/pWk91bxylWtlDjY7DnTXF2skJUQgZ+6R+E9DtWHdRvcqNf9oSSKdMaEHbZcn61EbmdO8uE8xhT9KKW0lVtROeWd/IZqhe3sVr3CpeR9lVedaN1tmVFh5ZJPvShvMkmokj1TDXKxQbkBP61Hw65W7cRvCYZDyydm+IrSNkTGhLYbrtvzoW1oRK0dq9nHHPIjYXGkHr8N6pcSWF4oo4GOvYHAqFkVnxqzpOxz0ooYddwmBvjn61M1kqY1SIWkhsLc9o+x3bO+o4xWantBZyzGOWGRY2bdyBj1xzFUfaG4Ml2Y890Hl9BWSvM1ipFs7uycWXeiCEE60bVk7jpvvU7cTnaXBHIZBIX/AFrF9mzJd8PaPH/DzlUz4bH9TWjNC8d4iPsWwBuMb1tWib2HLPNcTKs7ErgnGo/lWdxniIsYtIbDtsP5VuW/D5TOWcd0KBld+v8ASuB9tGccRKkEBWY8uudqTjbx+hfsrzvJPJrmdmJ8TU9hxeThcyKcvbsftEzyHiPOs62uu0ARlbV4gc6VyhaVRkDVgajsBRFNSpibtHoMkhcxL3TGQSpHU86hYBpQo5kdKtcHtQljYxTSI7xxKG0nIOFIo+I24SaIw6VXS2d8Zq2kCZPwtD2LsucZxyzmpL2LVbuqgKcHBCHn5ZO9VbfiAt7eNFhU56nJ3opuLSqCewjP/wBDTTVCfkVokawCaQ5HYhX8TjnWNfT+72r3UigZ2Ra3lltGtRHLPGjNzUZ2HhXP+1cQmhi9zdZEQd7fGPnUzegRys00lxIZJTknx6UqiFKs6A9EtrS7mRJWFg0TY7yFxkf4jW/b+42aaYkAPVtO5+JrL9nIRc8DtZlUqHBOOfU1qGx2/F8q6UZsn9/h5aj8hS9+i6MfpVcWPU6vlWNxZxKhhtZiAAdRA5+WaJPFWB0Av4cZDMR44FMb+L95vkK5DhnEGtrZrd7WWSQPiPng1q2k0s76JbWSJiMqCpwRUxnYGx77Cef1UVFK1jKO/FE3rGDUHu0nWNs/3TS93f8As3/wmrGVp7C2M2qEBVPNVQN+e9VjaR6tId8k4wIV3+tXJl7IrrBTPVhivPri4nTicrRTMpWY4I9azcEvRcW37PTpYXeNwDz8PCuZtUtpLm4uLtgJFkIUFl7oHXer7CRpSAD97GcelczxeymiumluFYRtsrE7Cok/0ioxOkiWzEkfYyBjqzkyA4+A8q1HmtN9VyMkb4U/yrieD2DPdpcWqho4T9owYeBrfaCR1LKu2Nt/OqX8FJUWL6OJOHqVXOM6SAPA4O9WTOYIrdkjRmZRu3PkPSml7IcPVJgcFQNhnBxRiJHiiV99Kjl6UCOLvYo572STs8ORlstkDfoP61ihCZGwwHP8P9a2L6b3a7fu6tQK/I1kB/tK5Ipls6n2SuH7OSACNezmAyqaS4wNz4nbnWvxVD7zazqBgSqCT0yaxvYko734Ze8rIwPqD/KuivHjykUkeoMwYEHkQa6fMSb2BxAMJIiGxqBzj4VwftVLJ2qx62KMzZHjXo2FL6WAO2dxXnXtkuidXAAxKcfKiv0hejFtmVGVsc0P51M8iFSCMj0qlbuWmUZ2ANWe747etXKKuxJ6O99l1J4fZOqkLpIyB4ZFaHEpIwVW4jkVckKVwc/yqj7HSF+ARAfhdx/+jWnxO3nuLZUhiZ+8MhcfrSrVDT2Uob20hURGCV9OwLI2/wAhUk/E4NAK2aHoBuN6eLhE3Zl2tcMPHGT9ajl4ReSINNuFwQ27DpRUh2ilc+7yO0zpMu4yEGRn5Gsfj2PcNURYgMAc1vLazMykWjdw6zsN8EVY/Z1tJbiK5t1kQMSA4xnek4WKzzjVmmrrbvhvAWunB1wsNiiHAFKniI7SLiYjijjit0VVAAVeg8Kk/aj/ANgPl/WubuuIy2QjEyW41/d05ONgd/nQ2XFpbouAsH8Ox8aWe6Fo6OXiMrxsnZhdQxnHL61AjxC2WE2kJXGD3eePPNUFmu2jDaLUZAPNuoB/X6U4lvMqCloAxwTlttx/M/I1Q9Fy1mSGWcpBGQJO7t90FF251ZbiMhIwkQI/h/rWNDJc98g2uWYFvvc9C/piiM94oVitqRnfGrOMjP50tho1/wBoz/uxf4f60jxGcfgj+X9a5LjPE7qNCE0BB4Z1cqXB+IXktuGeeEKNu9uelTk7C0dVJetKoEsMLAbjP+tY3EODcPvpzK9pplJAJjcjJ9MmmW7uCmWnt1xnOEPQ4qq3ErppNMU8eRvqCgdfOm2ykl6OpW1kAJ07aid65j202sFOcnUNhUjcVuUXW0wx1O29AOJSudTOC/QaBSbsEiD2FYNb3iFTlpF5+hrrPdGjQjGAPGudPELoqgidV3/cFWrS+cEm6ue072wUAU1IVM1WWCVdLMGA3PeIx9KdOzOFRhy6En9BVT9oWy4QJ3SPXahHEreP/doxPmKTkhqLOV9orVjewRQ6NTl984G1c1IOzI1Egg4Yedd9xO7tpLSUtFE78vu95fHFVuFXHDLhXRraJymDkwgkZ8dqyhNJ1Rs+FuGRU9gGBm4k5IC4hGf8yuwZbeQamYd3fIzVKGXhsAZIoOzLAEhIscuW4FSi/tVGjQ2PEg1tkjHFloPEzd1gdsbePzrhPbqACMMMMRLgkHyrsBfQEApnI/eBqGae1mUiWKF+uGUkflUOatMai6PJIlw4JAxU32XXFemE8PHeaGzUY27n9KUY4Ud0Sz+X9Kp8yYu2QewqKfZ9CpGO1fG3nXVRxRqNxk8zvVCz937Ffdlj7NSfuciata/nWid7JLX2eMaBp9BUM6RbDsh3tvCg17UDtqAG253BFMVFmGOJAQkaqD155+dQ3FpBIuV7j+I5VEo0MOun7uTkCnMlAUYkvBUkv5JJ1i0lQBhiCTknPh1pqucVt5rqJBbTmJw25HUUqLGcXexcQueyRrkSanyTpOI9vqOnKhtuEcSWVy0qR9Ay5YH4bYrtw2OQFIOR0Fcfdfw27KOSW34omT72q+AVHO3yplivGfMt+645kwE5+bCuxEgHNRQh9/uL8qWbF2kcLNJxJ5miWWYqXzqEZxnA351Lb/th3Ja77JdvuxMxPwOK7YNj/wBMfOlqH9mvyp9x/A7RxU3D7mZWLyzyspyhEGjPrljUdnwu6jkftBcIv4QBz8zXc9oc4wo+FOGPXRil3JB2kczHHeRkgtNLGQAAwA+ppfbhtXYuRyGJM4+ANdP2cR3aMfKma2gkBBjPoanKRWBy6pJK4xHL6AbD466nS1umwxEzAHkwZf1NbEnDuG76rWMn41X9w4YOVnEDn941XcaJxIHWRD9nE+T0w2B/KnGrnyOOpYfmKma0tBtHHIp8UmaiFioXInvk9JWo7g6KkkwghBGnV11SYx81qsbkFNbJHk/+/Gf+WtT3dtOI727B6asN+Yofcbo87yTSRuWhQ/PajJBsyJWkZMRplegBQ/VQPrVfhaJHfTyQRysrqAyqAx1eO5rRvrK6mBjgdbh0UM/ZgJscgDHXkar8Js7ntJoewRJlwSk65GKlNpto7vy+GmXMqTl4JwSu5KAfTXTFogeaqfNH/Q1KeH3i5IsrIjrh2WmEFyv3rBR/duWH6VeRwkchiUltcePErKKFplODG6ef2jp+YqRw4YZsron+G62qSyXXdgPbXMeQd5GVloVMLKUt0wkRFeMKfvH3zTj4EUnncqDHNqKj7q3y7/StvGiVtGB12AqG6hFyojDAM5ADFc4rXAnI0eGg/s+Isclhqzq1Zz59atClHEEjVVxgAAYNGEOOVbLSM2CaDqKlKNjkaDSR0pgNQtRZHiKFqABxSpGlSEVBp8R86PRRZpsiuA7BtNLSKfNKgYiq4602hfFqem50ACY26OaQhAO7MfjR486cUUKgeyU+J+NOsaqcgb/GiGKfNMVCZdQ3diaD3cfhYA+OOVSZpZHhRSCiIRzq3d7Ejx01L9t1dMf3T/On1U2sDxopBQ5K9WGfDAoJJUVTkFgRggDNHqPSnDNjBOaYqKCDh0Rcxx6O0ADaVZc48fnQQDh1tcmWBArtsXBO/rmtEt4gH4VG8gXnAWHko2pWwAe8VUJR49WeTZokullHcaM7cs75ofe4sA6APIrg1Gbm2kTuRKzfClYBtIQATa743OVqjecXtrF4/eV0athhf9attMEGFJHxzisH2hEt48EZAJQFs4A8qqLVikjVF5DchJoG1I+wOOdSftqLhuiG4hRu1yVB2YisnhdvM6Lbx/gO/hk8vzqe+44LKc2XE7VLhI9gZI849Cf0roU0zJxo1IeN8KkBOt4jy06tR9asjiXDWXK32nH76mud9+9nZWCm2kiDLnaT+dKWy9n5VBS9liz+9g4qrFR03vdmyZTicB9f9aRnBUaL6BseLEVzZ4JYPFiLjjqRuD/2ar/sIKDjjkB33yKdio6nvHcXFuSfCQ8vlTMsxXImtsA/2p/lXMJ7Pykgpxq0Db+Jpz7N3oAP7UtGI8qLYUdKxnx3Z7f/ADD/ACpVzaez16mf/M7Y5/hpUWwpG+AFGwoqVKuI6xUudKlQAgKfFKlQA9NqGsrvkUqVABYpUqVACFPSpUAKkDttSpUwG2yR86W4p6VJgMTSJypBGdqVKmADQqVUDu42GByqJbWMMp+9/eGaalSoQT20MmzIDnbwqFbaGJ+4myj8W9KlSYwZ0DLgYQsOajBHgfUZqnfcSuLa0xxaC2vrdWxuvfx08s0qVVCTTomaVFGBPZriRGOHXELfwPj9atS+y/DXBENzeRjPUIf60qVdMXZi0Qz+xdwY9UPEgF/jQ5/Oq8XslxByBBxGMkjcOpA/WmpVRA0/spxyFsC6tG5n77D/AJapScN40jqDPbg+Ujf9NKlVUhZMc8N41kf7Rb78vtG/6aVKlRivgsmf/9k=</t>
  </si>
  <si>
    <t>Whale Watching in Mirissa</t>
  </si>
  <si>
    <t>Blue Whale Spotting: Head out on an early-morning boat to see blue whales surfacing and diving (Nov–Apr). | Dolphin Encounters: Watch pods of spinner dolphins leaping alongside the boat. | Open Ocean Views: Look out for sperm whales, turtles and flying fish on the deep-sea journey. | Marine Learning: Learn about whale behaviour and conservation from the onboard crew.</t>
  </si>
  <si>
    <t>Mirissa is one of the world's top locations for whale watching, with boat tours regularly spotting blue whales -- the largest animal on Earth -- along with sperm whales and dolphins in the deep waters off the south coast between roughly November and April. The nutrient-rich waters near the continental shelf make this stretch of coast unusually productive for marine megafauna. Whale watching has become one of the main draws bringing visitors to Mirissa alongside its beaches.</t>
  </si>
  <si>
    <t>Wilpattu National Park</t>
  </si>
  <si>
    <t>Leopard Safari: Search the forest roads for leopards on a jeep safari. | Villu Lakes: Visit the natural sand-rimmed lakes that attract wildlife. | Sloth Bear Spotting: Look for sloth bears, especially in fruiting season.</t>
  </si>
  <si>
    <t>Wilpattu National Park, spanning parts of the North Western and North Central provinces, is Sri Lanka's largest national park and among its oldest, designated in 1938 alongside Yala. It is named for its distinctive "willus" -- natural sand-rimmed lakes scattered through the dry-zone forest -- and is renowned as one of the best places in the country to spot leopards in a more untouched, less crowded setting than Yala. The park also supports sloth bears, elephants, and a wide range of birdlife.</t>
  </si>
  <si>
    <t>Windy corner falls</t>
  </si>
  <si>
    <t>Something like a mountain river. It's hard to go down. Not visible from the road. Visitors are advised to take care underfoot, as conditions can be slippery.</t>
  </si>
  <si>
    <t>https://encrypted-tbn0.gstatic.com/images?q=tbn:ANd9GcQdtuzhgpnyUlv1Stm3BWL73CgII7Dk83xEdjALqRcHSA&amp;s=10</t>
  </si>
  <si>
    <t>Wirawila Tissa Sanctuary</t>
  </si>
  <si>
    <t>Birdwatching: Spot water birds. | Lake Views: Enjoy the lake. | Photography: Capture the birds.</t>
  </si>
  <si>
    <t>Saw a variety of wildlife in their natural habitat. The driver and guide were excellent. They had a good knowledge of the area and pointed out things that an untrained eye would miss, such as a deer carcass from a leopard kill hanging in a tree.</t>
  </si>
  <si>
    <t>https://encrypted-tbn0.gstatic.com/images?q=tbn:ANd9GcRafPvMm-JwS-6GF0hNfYyxy3sfwwpxWnfDZwKGZYKjcQ&amp;s</t>
  </si>
  <si>
    <t>Wolvendaal Church</t>
  </si>
  <si>
    <t>Church Tour: Explore one of Colombo's oldest Protestant churches, built by the Dutch in 1749. | Tombstone Viewing: See the old Dutch tombstones and memorials inside the church. | History Learning: Learn about Colombo's Dutch colonial era from the building and plaques.</t>
  </si>
  <si>
    <t>Wolvendaal Church, built in 1749 by the Dutch in Colombo, is the oldest Protestant church in Sri Lanka still in active use and one of the best-preserved examples of Dutch colonial architecture on the island. Its thick coral-limestone walls, cross-shaped floor plan, and collection of Dutch-era tombstones and coats of arms reflect the Dutch East India Company's presence in Ceylon. The church remains an active Presbyterian congregation today.</t>
  </si>
  <si>
    <t>Yakdessagala mountain</t>
  </si>
  <si>
    <t>Mountain Hike: Hike up the rock. | Summit Views: Enjoy views over Kurunegala. | Legend Learning: Hear the legends.</t>
  </si>
  <si>
    <t>Amazing view from the peak of the mountain. Quite a struggle to get up there. Remember sufficient water supplies (2L) for every person. The spot is also known for its scenic views.</t>
  </si>
  <si>
    <t>https://encrypted-tbn0.gstatic.com/images?q=tbn:ANd9GcRekR-AFbHqjaPvXvxUP-L4FbF4QyBq_6fHqK9IpGsbfg&amp;s=10</t>
  </si>
  <si>
    <t>Yala National Park</t>
  </si>
  <si>
    <t>Predator Tracking &amp; Photography: Ride in an open-top 4x4 jeep, standing up on the seats to scan for active leopards and sloth bears before the jungle heat sets in. | Patanangala Beach Break: Hop out of the jeep to walk along a wild coastline where the jungle meets the ocean, and climb Patanangala Rock for panoramic views. | Manik Ganga River Picnic: Safely step out of the jeep at the shaded riverbanks to stretch your legs and eat a packed breakfast under giant trees. | Hidden Wildlife Viewing: Visit the wooden hide over Heenwewa Reservoir to watch crocodiles and birds drink completely unseen.</t>
  </si>
  <si>
    <t xml:space="preserve">There are six national parks and three wildlife sanctuaries in the vicinity of Yala. Among the largest is Lunugamvehera National Park. The park is situated in the dry semi-arid climatic region and rain is received mainly during the northeast monsoon. Yala hosts a variety of ecosystems ranging from moist monsoon forests to freshwater and marine wetlands. It is one of the 70 Important Bird Areas (IBAs) in Sri Lanka. Yala harbours 215 bird species including six endemic species of Sri Lanka. The number of mammals that has been recorded from the park is 44, and it has one of the highest leopard densities in the world. The area around Yala has hosted several ancient civilisations. Two important pilgrim sites, Sithulpahuwa and Magul Vihara, are situated within the park.
It is situated in the southeast region of the country, and lies in Southern Province and Uva Province. The park covers 979 square kilometers (378 sq. mi) and is located about 300 kilometers (190 mi) from Colombo. Yala was designated as a wildlife sanctuary in 1900, and along with Wilpattu was one of the first two national parks in Sri Lanka, having been designated in 1938. The park is best known for its variety of wild animals. It is important for the conservation of Sri Lankan elephants, Sri Lankan leopards and aquatic birds.
</t>
  </si>
  <si>
    <t>Yapahuwa Rock Fortress</t>
  </si>
  <si>
    <t>Grand Staircase Climb: Climb the steep ornamental stone stairway to the old palace gateway. | Stone Lion Carvings: Admire the famous carved guardian lions and dancers on the stairway. | Summit Views: Continue to the rock top for views over the Kurunegala plains. | Site Museum: Visit the small museum and cave temple at the base.</t>
  </si>
  <si>
    <t>Yapahuwa is a dramatic rock fortress in Kurunegala District that briefly served as the capital of Sri Lanka in the 13th century, built atop and around a steep granite outcrop for defence against South Indian invasions. Its ornately carved stone staircase, guarded by lion figures, is considered one of the finest examples of ancient Sinhalese stone architecture, and the site is famous as the original home of the Sacred Tooth Relic before it was moved to Kandy. Visitors can climb the rock for sweeping views of the surrounding plains.</t>
  </si>
  <si>
    <t>Yatagala Raja Maha Viharaya</t>
  </si>
  <si>
    <t>Rock Temple Visit: Visit the temple among boulders. | Reclining Buddha: See the reclining Buddha. | Views: Enjoy the views.</t>
  </si>
  <si>
    <t>This is a ancient buddhist cave temple.very calm place. Very clean and tidy place. Once you enter,your mind will relax surely. It remains a relatively quiet, less-touristy spot.</t>
  </si>
  <si>
    <t>https://encrypted-tbn0.gstatic.com/images?q=tbn:ANd9GcSslZNBmf4jKRQQ07ZxE9pqkcbDSmqiDC4eLcJ-7xUPRg&amp;s=10</t>
  </si>
  <si>
    <t>Yatala Dalada Wehera</t>
  </si>
  <si>
    <t>Stupa Visit: See the ancient stupa with elephant wall. | Museum: Visit the small museum. | History Learning: Learn about Tissamaharama.</t>
  </si>
  <si>
    <t>If you are staying here or are passing through this place, I highly recommend visiting. This is one of the first stupas in Sri Lanka, without an entrance inside. Archaeological work is underway nearby. It remains a relatively quiet, less-touristy spot.</t>
  </si>
  <si>
    <t>https://encrypted-tbn0.gstatic.com/images?q=tbn:ANd9GcR4aEXbMEaTMZIuBOC4ZtBOxGvO9E2_9-JcKpXQz5Wv7A&amp;s=10</t>
  </si>
  <si>
    <t>kalido beach kalutara</t>
  </si>
  <si>
    <t>Beach Relaxing: Relax on the beach where river meets sea. | Sunset Viewing: Watch the sunset. | Swimming: Swim in calm areas.</t>
  </si>
  <si>
    <t>Good place to watch sea. Sunset time is the best. Dangerous to sea bath . Visitors are advised to take care underfoot, as conditions can be slippery.</t>
  </si>
  <si>
    <t>https://encrypted-tbn0.gstatic.com/images?q=tbn:ANd9GcSVqSfXNAkLqFK1EQ1Wx6OfDTD_vBQkWq1qk2QgRbE-xQ&amp;s=10</t>
  </si>
  <si>
    <t>Place</t>
  </si>
  <si>
    <t>Best months</t>
  </si>
  <si>
    <t>Main reason</t>
  </si>
  <si>
    <t>May–Sep</t>
  </si>
  <si>
    <t>Dry, sunny</t>
  </si>
  <si>
    <t>Jan–Mar, Jul–Sep</t>
  </si>
  <si>
    <t>Less rain, good for sightseeing</t>
  </si>
  <si>
    <t>Jan–Mar, Jul–Aug</t>
  </si>
  <si>
    <t>Cool, comfortable</t>
  </si>
  <si>
    <t>Dry, sunny, beach weather</t>
  </si>
  <si>
    <t>Dec–Mar</t>
  </si>
  <si>
    <t>Less rain, beach/city weather</t>
  </si>
  <si>
    <t>Less rain, comfortable</t>
  </si>
  <si>
    <t>Less rain, warm</t>
  </si>
  <si>
    <t>Dry, good beach weather</t>
  </si>
  <si>
    <t>Less rain</t>
  </si>
  <si>
    <t>Jan–Mar</t>
  </si>
  <si>
    <t>Feb–Sep</t>
  </si>
  <si>
    <t>Drier weather</t>
  </si>
  <si>
    <t>Dry, good beach/water conditions</t>
  </si>
  <si>
    <t>Less rain, beach weather</t>
  </si>
  <si>
    <t>Comfortable sightseeing weather</t>
  </si>
  <si>
    <t>Jul–Aug</t>
  </si>
  <si>
    <t>Dry + pilgrimage season</t>
  </si>
  <si>
    <t>Comfortable</t>
  </si>
  <si>
    <t>Dry, beach weather</t>
  </si>
  <si>
    <t>Cool temperature</t>
  </si>
  <si>
    <t>Relatively drier</t>
  </si>
  <si>
    <t>Destination in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</si>
</sst>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Arial"/>
      <charset val="1"/>
    </font>
    <font>
      <sz val="11"/>
      <name val="Arial"/>
      <charset val="1"/>
    </font>
    <font>
      <u/>
      <sz val="11"/>
      <color theme="10"/>
      <name val="Calibri"/>
      <family val="2"/>
      <charset val="1"/>
    </font>
    <font>
      <sz val="10"/>
      <name val="Arial"/>
      <family val="2"/>
    </font>
  </fonts>
  <fills count="3">
    <fill>
      <patternFill patternType="none"/>
    </fill>
    <fill>
      <patternFill patternType="gray125"/>
    </fill>
    <fill>
      <patternFill patternType="solid">
        <fgColor rgb="FF1F4E78"/>
        <bgColor rgb="FF003366"/>
      </patternFill>
    </fill>
  </fills>
  <borders count="1">
    <border>
      <left/>
      <right/>
      <top/>
      <bottom/>
      <diagonal/>
    </border>
  </borders>
  <cellStyleXfs count="2">
    <xf numFmtId="0" fontId="0" fillId="0" borderId="0"/>
    <xf numFmtId="0" fontId="3" fillId="0" borderId="0">
      <alignment vertical="top"/>
      <protection locked="0"/>
    </xf>
  </cellStyleXfs>
  <cellXfs count="6">
    <xf numFmtId="0" fontId="0" fillId="0" borderId="0" xfId="0"/>
    <xf numFmtId="0" fontId="1" fillId="2" borderId="0" xfId="0" applyFont="1" applyFill="1" applyAlignment="1">
      <alignment horizontal="center" vertical="center" wrapText="1"/>
    </xf>
    <xf numFmtId="0" fontId="2" fillId="0" borderId="0" xfId="0" applyFont="1"/>
    <xf numFmtId="18" fontId="2" fillId="0" borderId="0" xfId="0" applyNumberFormat="1" applyFont="1"/>
    <xf numFmtId="0" fontId="2" fillId="0" borderId="0" xfId="1" applyFont="1" applyAlignment="1" applyProtection="1"/>
    <xf numFmtId="0" fontId="2"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EDE2F6"/>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encrypted-tbn0.gstatic.com/images?q=tbn:ANd9GcSNdkoGOCqmPv0DgDYAp_Pqdi4vOvaTLD7OmuwUQdQ33A&amp;s=10" TargetMode="External"/><Relationship Id="rId21" Type="http://schemas.openxmlformats.org/officeDocument/2006/relationships/hyperlink" Target="https://encrypted-tbn0.gstatic.com/images?q=tbn:ANd9GcS3-BO85bHUUbjDexnZKh47MpyxXMKTUo0T53rBgIIr1w&amp;s=10" TargetMode="External"/><Relationship Id="rId324" Type="http://schemas.openxmlformats.org/officeDocument/2006/relationships/hyperlink" Target="https://encrypted-tbn0.gstatic.com/images?q=tbn:ANd9GcTx7hP-kPajSzcyTcbK-P9KC-kTVTYvphi6VLQxmNAstA&amp;s=10" TargetMode="External"/><Relationship Id="rId531" Type="http://schemas.openxmlformats.org/officeDocument/2006/relationships/hyperlink" Target="https://encrypted-tbn0.gstatic.com/images?q=tbn:ANd9GcSKPfgAzBm8xfthMKkjII4yHl0sECcEDlC8xHwuswW83Q&amp;s=10" TargetMode="External"/><Relationship Id="rId170" Type="http://schemas.openxmlformats.org/officeDocument/2006/relationships/hyperlink" Target="https://encrypted-tbn0.gstatic.com/images?q=tbn:ANd9GcSA1-2d2D0idd1HdFU1RJPez6i6kvMltCRXIUqsBgOBLw&amp;s=10" TargetMode="External"/><Relationship Id="rId268" Type="http://schemas.openxmlformats.org/officeDocument/2006/relationships/hyperlink" Target="https://encrypted-tbn0.gstatic.com/images?q=tbn:ANd9GcSBQzqIfvmQkXjhAf1_ey889crgKiteXvoSNjlBtSllVw&amp;s=10" TargetMode="External"/><Relationship Id="rId475" Type="http://schemas.openxmlformats.org/officeDocument/2006/relationships/hyperlink" Target="https://encrypted-tbn0.gstatic.com/images?q=tbn:ANd9GcR9gNtTNa-MA-T4Z0EpYhsyGvQQui5fL6FxjCkbyFBPtg&amp;s=10" TargetMode="External"/><Relationship Id="rId32" Type="http://schemas.openxmlformats.org/officeDocument/2006/relationships/hyperlink" Target="https://encrypted-tbn0.gstatic.com/images?q=tbn:ANd9GcQOl8xOkqePMFfzSANkoRX3EGnQ09CrtIQkbCDYvKpi6A&amp;s=10" TargetMode="External"/><Relationship Id="rId128" Type="http://schemas.openxmlformats.org/officeDocument/2006/relationships/hyperlink" Target="https://encrypted-tbn0.gstatic.com/images?q=tbn:ANd9GcSpwnVxMXI2teqJFKJSMXsmj_n7rBZLlkfW4ZI2WxVM7A&amp;s=10" TargetMode="External"/><Relationship Id="rId335" Type="http://schemas.openxmlformats.org/officeDocument/2006/relationships/hyperlink" Target="https://encrypted-tbn0.gstatic.com/images?q=tbn:ANd9GcTm03A6GcPh2UEURRhDfZagEUPlD3LbiZhH0YXLEbK5jg&amp;s=10" TargetMode="External"/><Relationship Id="rId181" Type="http://schemas.openxmlformats.org/officeDocument/2006/relationships/hyperlink" Target="https://encrypted-tbn0.gstatic.com/images?q=tbn:ANd9GcRT4U6Ac57bySQ3R2-ZdRoyTYP4ibxHD-olrb1fsURkCw&amp;s=10" TargetMode="External"/><Relationship Id="rId402" Type="http://schemas.openxmlformats.org/officeDocument/2006/relationships/hyperlink" Target="https://encrypted-tbn0.gstatic.com/images?q=tbn:ANd9GcSXzoga6BWTGu8wFBcu3MwG-3ScFqYx2Hg-mnqH40o1xg&amp;s=10" TargetMode="External"/><Relationship Id="rId279" Type="http://schemas.openxmlformats.org/officeDocument/2006/relationships/hyperlink" Target="https://encrypted-tbn0.gstatic.com/images?q=tbn:ANd9GcRQsPvsa_8Xyv87HDTaeJNMTjQWCy7hhgVl9BWE_dslCA&amp;s=10" TargetMode="External"/><Relationship Id="rId444" Type="http://schemas.openxmlformats.org/officeDocument/2006/relationships/hyperlink" Target="https://encrypted-tbn0.gstatic.com/images?q=tbn:ANd9GcRQac_qCBGnAQDKOTkvgtiSBy_FmLpumGNOiS0fKfpvGA&amp;s=10" TargetMode="External"/><Relationship Id="rId486" Type="http://schemas.openxmlformats.org/officeDocument/2006/relationships/hyperlink" Target="https://encrypted-tbn0.gstatic.com/images?q=tbn:ANd9GcROiTVHHX0vK7TiVjKlgTd4uLrbXZzPiGa9DydQq8LuKA&amp;s=10" TargetMode="External"/><Relationship Id="rId43" Type="http://schemas.openxmlformats.org/officeDocument/2006/relationships/hyperlink" Target="https://encrypted-tbn0.gstatic.com/images?q=tbn:ANd9GcQYl5F785Qfbd3LjAxNFftHmrstm0Dgtj4hkFO3hDuj5A&amp;s=10" TargetMode="External"/><Relationship Id="rId139" Type="http://schemas.openxmlformats.org/officeDocument/2006/relationships/hyperlink" Target="https://encrypted-tbn0.gstatic.com/images?q=tbn:ANd9GcSKPfgAzBm8xfthMKkjII4yHl0sECcEDlC8xHwuswW83Q&amp;s=10" TargetMode="External"/><Relationship Id="rId290" Type="http://schemas.openxmlformats.org/officeDocument/2006/relationships/hyperlink" Target="https://encrypted-tbn0.gstatic.com/images?q=tbn:ANd9GcQEYFJy4xmSw7UM3Aw9YCf4O6O5mPWi7-EvemS_mkrZjQ&amp;s=10" TargetMode="External"/><Relationship Id="rId304" Type="http://schemas.openxmlformats.org/officeDocument/2006/relationships/hyperlink" Target="https://encrypted-tbn0.gstatic.com/images?q=tbn:ANd9GcSXquwC3NX7G-v1Gdv4SlI4lWXBC4429JDSjJ4ap_quzg&amp;s=10" TargetMode="External"/><Relationship Id="rId346" Type="http://schemas.openxmlformats.org/officeDocument/2006/relationships/hyperlink" Target="https://encrypted-tbn0.gstatic.com/images?q=tbn:ANd9GcSXG3l5oqyCyYR5AALEZG2TrLRPfWz5BE3XUIaFlviOHw&amp;s=10" TargetMode="External"/><Relationship Id="rId388" Type="http://schemas.openxmlformats.org/officeDocument/2006/relationships/hyperlink" Target="https://encrypted-tbn0.gstatic.com/images?q=tbn:ANd9GcTxx2H7ojRso9f-vTQT8jdPYrqOC5VP_Jn4hPAZOTFfeQ&amp;s=10" TargetMode="External"/><Relationship Id="rId511" Type="http://schemas.openxmlformats.org/officeDocument/2006/relationships/hyperlink" Target="https://encrypted-tbn0.gstatic.com/images?q=tbn:ANd9GcS_DGn6f6Fgr_YKDIyWcZpUXoaQyVDE0YIbGHzO4Lni-A&amp;s=10" TargetMode="External"/><Relationship Id="rId85" Type="http://schemas.openxmlformats.org/officeDocument/2006/relationships/hyperlink" Target="https://encrypted-tbn0.gstatic.com/images?q=tbn:ANd9GcTQtJAow6EblLqR7pVqppndDb1hFxcwfNqJT89iZ1pHXQ&amp;s=10" TargetMode="External"/><Relationship Id="rId150" Type="http://schemas.openxmlformats.org/officeDocument/2006/relationships/hyperlink" Target="https://encrypted-tbn0.gstatic.com/images?q=tbn:ANd9GcR_WkdcZr3lF05tPiR3PPbV08bKTidlXSvi8PiHk4G9BQ&amp;s=10" TargetMode="External"/><Relationship Id="rId192" Type="http://schemas.openxmlformats.org/officeDocument/2006/relationships/hyperlink" Target="https://encrypted-tbn0.gstatic.com/images?q=tbn:ANd9GcRytvYpelBNXwpSaFQb5Bugwg-j-L-wnIa2azEFEdv5IQ&amp;s=10" TargetMode="External"/><Relationship Id="rId206" Type="http://schemas.openxmlformats.org/officeDocument/2006/relationships/hyperlink" Target="https://encrypted-tbn0.gstatic.com/images?q=tbn:ANd9GcRDjBuaOp89z4xnJKaqLxeriVL6e1gdGamIQqMfQSaSIw&amp;s=10" TargetMode="External"/><Relationship Id="rId413" Type="http://schemas.openxmlformats.org/officeDocument/2006/relationships/hyperlink" Target="https://encrypted-tbn0.gstatic.com/images?q=tbn:ANd9GcR1S-1f6wPrkP-joA1OJCtbtC4n6ssVfgctPzx5fflayg&amp;s=10" TargetMode="External"/><Relationship Id="rId248" Type="http://schemas.openxmlformats.org/officeDocument/2006/relationships/hyperlink" Target="https://encrypted-tbn0.gstatic.com/images?q=tbn:ANd9GcRN38nbnaqSmefDywsOnI2yshe5lmqQVAeVxL8eVLsJCQ&amp;s=10" TargetMode="External"/><Relationship Id="rId455" Type="http://schemas.openxmlformats.org/officeDocument/2006/relationships/hyperlink" Target="https://encrypted-tbn0.gstatic.com/images?q=tbn:ANd9GcSqN0kYOJYFmyhpgTX0GZuuFbU5J9cnsChuOOEgsnp3aQ&amp;s=10" TargetMode="External"/><Relationship Id="rId497" Type="http://schemas.openxmlformats.org/officeDocument/2006/relationships/hyperlink" Target="https://encrypted-tbn0.gstatic.com/images?q=tbn:ANd9GcS_DGn6f6Fgr_YKDIyWcZpUXoaQyVDE0YIbGHzO4Lni-A&amp;s=10" TargetMode="External"/><Relationship Id="rId12" Type="http://schemas.openxmlformats.org/officeDocument/2006/relationships/hyperlink" Target="https://encrypted-tbn0.gstatic.com/images?q=tbn:ANd9GcTTuj9faWKFrE4Fpgae4evs5dBRJqkwgGo4yU1hcGaa6w&amp;s=10" TargetMode="External"/><Relationship Id="rId108" Type="http://schemas.openxmlformats.org/officeDocument/2006/relationships/hyperlink" Target="https://encrypted-tbn0.gstatic.com/images?q=tbn:ANd9GcSmMx7k3cPTCR_VvVPLaUMUFEaHYYQAp7Y___wy77E4gA&amp;s=10" TargetMode="External"/><Relationship Id="rId315" Type="http://schemas.openxmlformats.org/officeDocument/2006/relationships/hyperlink" Target="https://encrypted-tbn0.gstatic.com/images?q=tbn:ANd9GcSs0sJOfuaVH97H7ed1JV5ZD5TXhGGlpO6am714IgrX0Q&amp;s=10" TargetMode="External"/><Relationship Id="rId357" Type="http://schemas.openxmlformats.org/officeDocument/2006/relationships/hyperlink" Target="https://encrypted-tbn0.gstatic.com/images?q=tbn:ANd9GcQKVCHjLB86uO4bFw3NecJOD2Y51ikNqqFZenXgRQOUow&amp;s=10" TargetMode="External"/><Relationship Id="rId522" Type="http://schemas.openxmlformats.org/officeDocument/2006/relationships/hyperlink" Target="https://encrypted-tbn0.gstatic.com/images?q=tbn:ANd9GcSI_jjTnMK6idbuUtdAuj5zh10_r2IUWVSU80NfDWRs5w&amp;s=10" TargetMode="External"/><Relationship Id="rId54" Type="http://schemas.openxmlformats.org/officeDocument/2006/relationships/hyperlink" Target="https://encrypted-tbn0.gstatic.com/images?q=tbn:ANd9GcRW05Uv7crdPCKfeY0lh5rsX2JLN-SF2WrkMU4lVjG_MA&amp;s=10" TargetMode="External"/><Relationship Id="rId96" Type="http://schemas.openxmlformats.org/officeDocument/2006/relationships/hyperlink" Target="https://encrypted-tbn0.gstatic.com/images?q=tbn:ANd9GcTQArm0OAvHP243RVKdxJo6UTQ3XtKejUNBPYiiPpMd7w&amp;s=10" TargetMode="External"/><Relationship Id="rId161" Type="http://schemas.openxmlformats.org/officeDocument/2006/relationships/hyperlink" Target="https://encrypted-tbn0.gstatic.com/images?q=tbn:ANd9GcRM6iVCvyNz8ywqxU9WuqEyTfOUS5NCnVi91cEUclJwug&amp;s=10" TargetMode="External"/><Relationship Id="rId217" Type="http://schemas.openxmlformats.org/officeDocument/2006/relationships/hyperlink" Target="https://encrypted-tbn0.gstatic.com/images?q=tbn:ANd9GcQcoCmn63oJfT8IJVMz3OlunYkeAc_0l66PHZGJcivtTw&amp;s=10" TargetMode="External"/><Relationship Id="rId399" Type="http://schemas.openxmlformats.org/officeDocument/2006/relationships/hyperlink" Target="https://encrypted-tbn0.gstatic.com/images?q=tbn:ANd9GcSXzoga6BWTGu8wFBcu3MwG-3ScFqYx2Hg-mnqH40o1xg&amp;s=10" TargetMode="External"/><Relationship Id="rId259" Type="http://schemas.openxmlformats.org/officeDocument/2006/relationships/hyperlink" Target="https://encrypted-tbn0.gstatic.com/images?q=tbn:ANd9GcQqYGtXXat6WYii61ImVCG9Z2ZFOYFf9Xs-9vUP8ID8OA&amp;s=10" TargetMode="External"/><Relationship Id="rId424" Type="http://schemas.openxmlformats.org/officeDocument/2006/relationships/hyperlink" Target="https://encrypted-tbn0.gstatic.com/images?q=tbn:ANd9GcTzIwNxiPf7P4WZM5a8gp89WqbwkAwWPxEtG9rcwqC0RQ&amp;s=10" TargetMode="External"/><Relationship Id="rId466" Type="http://schemas.openxmlformats.org/officeDocument/2006/relationships/hyperlink" Target="https://encrypted-tbn0.gstatic.com/images?q=tbn:ANd9GcT3HVwQtDlzsD26pKTjBqpMXmfyVp20kQLYwwBkTNus-g&amp;s=10" TargetMode="External"/><Relationship Id="rId23" Type="http://schemas.openxmlformats.org/officeDocument/2006/relationships/hyperlink" Target="https://encrypted-tbn0.gstatic.com/images?q=tbn:ANd9GcTK0Pk2IUnkl38BobHEE5YCD7wuaNtz3y7-92Bf328rwg&amp;s=10" TargetMode="External"/><Relationship Id="rId119" Type="http://schemas.openxmlformats.org/officeDocument/2006/relationships/hyperlink" Target="https://encrypted-tbn0.gstatic.com/images?q=tbn:ANd9GcRY1pbHDDuGnk340J0wFFF8NQ13p7E3LyIprVY3V3NPjw&amp;s=10" TargetMode="External"/><Relationship Id="rId270" Type="http://schemas.openxmlformats.org/officeDocument/2006/relationships/hyperlink" Target="https://encrypted-tbn0.gstatic.com/images?q=tbn:ANd9GcQ2H1s_JgPFS_---5Pvu8KIzg_EiKkevvpQWqkgSplwrw&amp;s=10" TargetMode="External"/><Relationship Id="rId326" Type="http://schemas.openxmlformats.org/officeDocument/2006/relationships/hyperlink" Target="https://encrypted-tbn0.gstatic.com/images?q=tbn:ANd9GcTx7hP-kPajSzcyTcbK-P9KC-kTVTYvphi6VLQxmNAstA&amp;s=10" TargetMode="External"/><Relationship Id="rId533" Type="http://schemas.openxmlformats.org/officeDocument/2006/relationships/hyperlink" Target="https://encrypted-tbn0.gstatic.com/images?q=tbn:ANd9GcRytvYpelBNXwpSaFQb5Bugwg-j-L-wnIa2azEFEdv5IQ&amp;s=10" TargetMode="External"/><Relationship Id="rId65" Type="http://schemas.openxmlformats.org/officeDocument/2006/relationships/hyperlink" Target="https://encrypted-tbn0.gstatic.com/images?q=tbn:ANd9GcQhuWYAdK92Wax7wa4CHg0DwoYag4AcG0_o0c_6MOTTpQ&amp;s=10" TargetMode="External"/><Relationship Id="rId130" Type="http://schemas.openxmlformats.org/officeDocument/2006/relationships/hyperlink" Target="https://encrypted-tbn0.gstatic.com/images?q=tbn:ANd9GcTOS1iWUGclOR0rMclXQZ8Ix5I_9qI7j77X6k7keKCYKA&amp;s=10" TargetMode="External"/><Relationship Id="rId368" Type="http://schemas.openxmlformats.org/officeDocument/2006/relationships/hyperlink" Target="https://encrypted-tbn0.gstatic.com/images?q=tbn:ANd9GcR28veVk3lpVnsTSobV5_bjuqiwtVcxbtC72nbhKIPfqA&amp;s=10" TargetMode="External"/><Relationship Id="rId172" Type="http://schemas.openxmlformats.org/officeDocument/2006/relationships/hyperlink" Target="https://encrypted-tbn0.gstatic.com/images?q=tbn:ANd9GcSZsw_JxU_IX3dDu_PVVXtjIvR10pJfjqc6dRzaBX6rfQ&amp;s=10" TargetMode="External"/><Relationship Id="rId228" Type="http://schemas.openxmlformats.org/officeDocument/2006/relationships/hyperlink" Target="https://encrypted-tbn0.gstatic.com/images?q=tbn:ANd9GcSIwl6G5Ta5L-iko1omkhL7h8mkokXPRVbxobLEIiMvSQ&amp;s=10" TargetMode="External"/><Relationship Id="rId435" Type="http://schemas.openxmlformats.org/officeDocument/2006/relationships/hyperlink" Target="https://encrypted-tbn0.gstatic.com/images?q=tbn:ANd9GcSFag6VunOZoxN3bVLEEKZvicO6ubv6PI8YUWj6z1CoIQ&amp;s=10" TargetMode="External"/><Relationship Id="rId477" Type="http://schemas.openxmlformats.org/officeDocument/2006/relationships/hyperlink" Target="https://encrypted-tbn0.gstatic.com/images?q=tbn:ANd9GcRtD3obuT8VSwWhD7wEu2PRI3sR8Os3zjSVyazNFZwLaQ&amp;s=10" TargetMode="External"/><Relationship Id="rId281" Type="http://schemas.openxmlformats.org/officeDocument/2006/relationships/hyperlink" Target="https://encrypted-tbn0.gstatic.com/images?q=tbn:ANd9GcTlXW5qnHPR1zzHfbCwoBXCvR5YvR6CmtB7e9yRVTKWoA&amp;s=10" TargetMode="External"/><Relationship Id="rId337" Type="http://schemas.openxmlformats.org/officeDocument/2006/relationships/hyperlink" Target="https://encrypted-tbn0.gstatic.com/images?q=tbn:ANd9GcTm03A6GcPh2UEURRhDfZagEUPlD3LbiZhH0YXLEbK5jg&amp;s=10" TargetMode="External"/><Relationship Id="rId502" Type="http://schemas.openxmlformats.org/officeDocument/2006/relationships/hyperlink" Target="https://encrypted-tbn0.gstatic.com/images?q=tbn:ANd9GcS_DGn6f6Fgr_YKDIyWcZpUXoaQyVDE0YIbGHzO4Lni-A&amp;s=10" TargetMode="External"/><Relationship Id="rId34" Type="http://schemas.openxmlformats.org/officeDocument/2006/relationships/hyperlink" Target="https://encrypted-tbn0.gstatic.com/images?q=tbn:ANd9GcTMpgYJfOlYzdqOQGQZ8g4n5z0MHwWJ-XbEUjb5kFboDg&amp;s=10" TargetMode="External"/><Relationship Id="rId76" Type="http://schemas.openxmlformats.org/officeDocument/2006/relationships/hyperlink" Target="https://encrypted-tbn0.gstatic.com/images?q=tbn:ANd9GcS1cketaOneBziSau2PIrVjKV_D_je_6L4lOpCo0PpXAw&amp;s=10" TargetMode="External"/><Relationship Id="rId141" Type="http://schemas.openxmlformats.org/officeDocument/2006/relationships/hyperlink" Target="https://encrypted-tbn0.gstatic.com/images?q=tbn:ANd9GcRCYGlAzwdbT4gBt5xVjp8NoLKD72Lu4aKJn_aXsmFXnw&amp;s=10" TargetMode="External"/><Relationship Id="rId379" Type="http://schemas.openxmlformats.org/officeDocument/2006/relationships/hyperlink" Target="https://encrypted-tbn0.gstatic.com/images?q=tbn:ANd9GcRee3t_Zmja8ULvC4735F9yqa1EjeeeOXZXr0U2at0cvQ&amp;s" TargetMode="External"/><Relationship Id="rId7" Type="http://schemas.openxmlformats.org/officeDocument/2006/relationships/hyperlink" Target="https://encrypted-tbn0.gstatic.com/images?q=tbn:ANd9GcQ9W4fY-KNOJvQ5F5OYbxibBL-SETjZl7AIxiZyw-J-MQ&amp;s=10" TargetMode="External"/><Relationship Id="rId183" Type="http://schemas.openxmlformats.org/officeDocument/2006/relationships/hyperlink" Target="https://encrypted-tbn0.gstatic.com/images?q=tbn:ANd9GcS4Ko4DQoDiaBGm5Bm64_OQ5o4s-_GZhDEnlH-eCq2VtA&amp;s=10" TargetMode="External"/><Relationship Id="rId239" Type="http://schemas.openxmlformats.org/officeDocument/2006/relationships/hyperlink" Target="https://encrypted-tbn0.gstatic.com/images?q=tbn:ANd9GcT6H_D7gPSnUa-pmawqSeKGvYbvnreJMRQl2fI4DczFFg&amp;s=10" TargetMode="External"/><Relationship Id="rId390" Type="http://schemas.openxmlformats.org/officeDocument/2006/relationships/hyperlink" Target="https://encrypted-tbn0.gstatic.com/images?q=tbn:ANd9GcSwFwvX-dqryGJ43Ygvm3eiGLLlHjNMXKD489fOp3wsTQ&amp;s=10" TargetMode="External"/><Relationship Id="rId404" Type="http://schemas.openxmlformats.org/officeDocument/2006/relationships/hyperlink" Target="https://encrypted-tbn0.gstatic.com/images?q=tbn:ANd9GcSXzoga6BWTGu8wFBcu3MwG-3ScFqYx2Hg-mnqH40o1xg&amp;s=10" TargetMode="External"/><Relationship Id="rId446" Type="http://schemas.openxmlformats.org/officeDocument/2006/relationships/hyperlink" Target="https://encrypted-tbn0.gstatic.com/images?q=tbn:ANd9GcTzIXadmutBRgXdZNfPVpkViIXkWccJZWIuJ9fV7QtKLg&amp;s=10" TargetMode="External"/><Relationship Id="rId250" Type="http://schemas.openxmlformats.org/officeDocument/2006/relationships/hyperlink" Target="https://encrypted-tbn0.gstatic.com/images?q=tbn:ANd9GcRN38nbnaqSmefDywsOnI2yshe5lmqQVAeVxL8eVLsJCQ&amp;s=10" TargetMode="External"/><Relationship Id="rId292" Type="http://schemas.openxmlformats.org/officeDocument/2006/relationships/hyperlink" Target="https://encrypted-tbn0.gstatic.com/images?q=tbn:ANd9GcQEYFJy4xmSw7UM3Aw9YCf4O6O5mPWi7-EvemS_mkrZjQ&amp;s=10" TargetMode="External"/><Relationship Id="rId306" Type="http://schemas.openxmlformats.org/officeDocument/2006/relationships/hyperlink" Target="https://encrypted-tbn0.gstatic.com/images?q=tbn:ANd9GcSXquwC3NX7G-v1Gdv4SlI4lWXBC4429JDSjJ4ap_quzg&amp;s=10" TargetMode="External"/><Relationship Id="rId488" Type="http://schemas.openxmlformats.org/officeDocument/2006/relationships/hyperlink" Target="https://encrypted-tbn0.gstatic.com/images?q=tbn:ANd9GcTtRZYDtTRlVJFD76YuBYo31ZVRtU9MRU0gJCp3xs7Etw&amp;s=10" TargetMode="External"/><Relationship Id="rId45" Type="http://schemas.openxmlformats.org/officeDocument/2006/relationships/hyperlink" Target="https://encrypted-tbn0.gstatic.com/images?q=tbn:ANd9GcQYl5F785Qfbd3LjAxNFftHmrstm0Dgtj4hkFO3hDuj5A&amp;s=10" TargetMode="External"/><Relationship Id="rId87" Type="http://schemas.openxmlformats.org/officeDocument/2006/relationships/hyperlink" Target="https://encrypted-tbn0.gstatic.com/images?q=tbn:ANd9GcTQtJAow6EblLqR7pVqppndDb1hFxcwfNqJT89iZ1pHXQ&amp;s=10" TargetMode="External"/><Relationship Id="rId110" Type="http://schemas.openxmlformats.org/officeDocument/2006/relationships/hyperlink" Target="https://encrypted-tbn0.gstatic.com/images?q=tbn:ANd9GcRhjXucZDe8gmLRC9RVOq7n2EtUHrz7SdtH1A4xBxqSLA&amp;s=10" TargetMode="External"/><Relationship Id="rId348" Type="http://schemas.openxmlformats.org/officeDocument/2006/relationships/hyperlink" Target="https://encrypted-tbn0.gstatic.com/images?q=tbn:ANd9GcSXG3l5oqyCyYR5AALEZG2TrLRPfWz5BE3XUIaFlviOHw&amp;s=10" TargetMode="External"/><Relationship Id="rId513" Type="http://schemas.openxmlformats.org/officeDocument/2006/relationships/hyperlink" Target="https://encrypted-tbn0.gstatic.com/images?q=tbn:ANd9GcQcQ5sYOPOWmcrP_RurccdbJ0APIUt7YWlLlNSX3xlzYg&amp;s=10" TargetMode="External"/><Relationship Id="rId152" Type="http://schemas.openxmlformats.org/officeDocument/2006/relationships/hyperlink" Target="https://encrypted-tbn0.gstatic.com/images?q=tbn:ANd9GcT6ri39ELYTOmo5LN5ioJsfe2SDfdv8XzHqytzgZZE8WA&amp;s=10" TargetMode="External"/><Relationship Id="rId194" Type="http://schemas.openxmlformats.org/officeDocument/2006/relationships/hyperlink" Target="https://encrypted-tbn0.gstatic.com/images?q=tbn:ANd9GcRytvYpelBNXwpSaFQb5Bugwg-j-L-wnIa2azEFEdv5IQ&amp;s=10" TargetMode="External"/><Relationship Id="rId208" Type="http://schemas.openxmlformats.org/officeDocument/2006/relationships/hyperlink" Target="https://encrypted-tbn0.gstatic.com/images?q=tbn:ANd9GcTVY_koXYbloOaniwqY-AGcVyeN3QjySiqwwaOg5UFTjw&amp;s=10" TargetMode="External"/><Relationship Id="rId415" Type="http://schemas.openxmlformats.org/officeDocument/2006/relationships/hyperlink" Target="https://encrypted-tbn0.gstatic.com/images?q=tbn:ANd9GcR1S-1f6wPrkP-joA1OJCtbtC4n6ssVfgctPzx5fflayg&amp;s=10" TargetMode="External"/><Relationship Id="rId457" Type="http://schemas.openxmlformats.org/officeDocument/2006/relationships/hyperlink" Target="https://encrypted-tbn0.gstatic.com/images?q=tbn:ANd9GcQLdPPy9Z0ekJBf6PDXw2puBRUjtCm0Yu6JzsnOt7gzzw&amp;s=10" TargetMode="External"/><Relationship Id="rId261" Type="http://schemas.openxmlformats.org/officeDocument/2006/relationships/hyperlink" Target="https://encrypted-tbn0.gstatic.com/images?q=tbn:ANd9GcQKUzZsqRJjLizeRW4rygyiuawocmaa8ITbInM5I4kDlg&amp;s=10" TargetMode="External"/><Relationship Id="rId499" Type="http://schemas.openxmlformats.org/officeDocument/2006/relationships/hyperlink" Target="https://encrypted-tbn0.gstatic.com/images?q=tbn:ANd9GcS_DGn6f6Fgr_YKDIyWcZpUXoaQyVDE0YIbGHzO4Lni-A&amp;s=10" TargetMode="External"/><Relationship Id="rId14" Type="http://schemas.openxmlformats.org/officeDocument/2006/relationships/hyperlink" Target="https://encrypted-tbn0.gstatic.com/images?q=tbn:ANd9GcSBThBrEeWLdjW4vH2NDmBXtW2SKrtb0FmeHpcXYD5qgA&amp;s" TargetMode="External"/><Relationship Id="rId56" Type="http://schemas.openxmlformats.org/officeDocument/2006/relationships/hyperlink" Target="https://encrypted-tbn0.gstatic.com/images?q=tbn:ANd9GcTWJUMKrXIM99mzsHxrC8waA6wpFA7pTeXiANUEWqJWTQ&amp;s=10" TargetMode="External"/><Relationship Id="rId317" Type="http://schemas.openxmlformats.org/officeDocument/2006/relationships/hyperlink" Target="https://encrypted-tbn0.gstatic.com/images?q=tbn:ANd9GcSs0sJOfuaVH97H7ed1JV5ZD5TXhGGlpO6am714IgrX0Q&amp;s=10" TargetMode="External"/><Relationship Id="rId359" Type="http://schemas.openxmlformats.org/officeDocument/2006/relationships/hyperlink" Target="https://encrypted-tbn0.gstatic.com/images?q=tbn:ANd9GcQKVCHjLB86uO4bFw3NecJOD2Y51ikNqqFZenXgRQOUow&amp;s=10" TargetMode="External"/><Relationship Id="rId524" Type="http://schemas.openxmlformats.org/officeDocument/2006/relationships/hyperlink" Target="https://encrypted-tbn0.gstatic.com/images?q=tbn:ANd9GcRekR-AFbHqjaPvXvxUP-L4FbF4QyBq_6fHqK9IpGsbfg&amp;s=10" TargetMode="External"/><Relationship Id="rId98" Type="http://schemas.openxmlformats.org/officeDocument/2006/relationships/hyperlink" Target="https://encrypted-tbn0.gstatic.com/images?q=tbn:ANd9GcTm6x0mHTFdho0_sf1cy0Igid4I_dp028qAh1xYiUnRaw&amp;s=10" TargetMode="External"/><Relationship Id="rId121" Type="http://schemas.openxmlformats.org/officeDocument/2006/relationships/hyperlink" Target="https://encrypted-tbn0.gstatic.com/images?q=tbn:ANd9GcRY1pbHDDuGnk340J0wFFF8NQ13p7E3LyIprVY3V3NPjw&amp;s=10" TargetMode="External"/><Relationship Id="rId163" Type="http://schemas.openxmlformats.org/officeDocument/2006/relationships/hyperlink" Target="https://encrypted-tbn0.gstatic.com/images?q=tbn:ANd9GcSA1-2d2D0idd1HdFU1RJPez6i6kvMltCRXIUqsBgOBLw&amp;s=10" TargetMode="External"/><Relationship Id="rId219" Type="http://schemas.openxmlformats.org/officeDocument/2006/relationships/hyperlink" Target="https://encrypted-tbn0.gstatic.com/images?q=tbn:ANd9GcTC2OUJYDboA3l2QR1OqwrheJ7f2MdYlSdLihd9DqGHFA&amp;s=10" TargetMode="External"/><Relationship Id="rId370" Type="http://schemas.openxmlformats.org/officeDocument/2006/relationships/hyperlink" Target="https://encrypted-tbn0.gstatic.com/images?q=tbn:ANd9GcR28veVk3lpVnsTSobV5_bjuqiwtVcxbtC72nbhKIPfqA&amp;s=10" TargetMode="External"/><Relationship Id="rId426" Type="http://schemas.openxmlformats.org/officeDocument/2006/relationships/hyperlink" Target="https://encrypted-tbn0.gstatic.com/images?q=tbn:ANd9GcTxa7NKV-WYbTmn9SgOftFXI8eO0Qn-ss4Qz6WyzSzNOA&amp;s=10" TargetMode="External"/><Relationship Id="rId230" Type="http://schemas.openxmlformats.org/officeDocument/2006/relationships/hyperlink" Target="https://encrypted-tbn0.gstatic.com/images?q=tbn:ANd9GcTyIccdtmm0EoO8ZWeFVBP9y7p_94sGxxj3H8Ctsr_Efg&amp;s=10" TargetMode="External"/><Relationship Id="rId468" Type="http://schemas.openxmlformats.org/officeDocument/2006/relationships/hyperlink" Target="https://encrypted-tbn0.gstatic.com/images?q=tbn:ANd9GcTNImXmDoE3kplQZQYAv3Au3jiPiJEL-1s7qpklXRzXgg&amp;s=10" TargetMode="External"/><Relationship Id="rId25" Type="http://schemas.openxmlformats.org/officeDocument/2006/relationships/hyperlink" Target="https://encrypted-tbn0.gstatic.com/images?q=tbn:ANd9GcTK0Pk2IUnkl38BobHEE5YCD7wuaNtz3y7-92Bf328rwg&amp;s=10" TargetMode="External"/><Relationship Id="rId67" Type="http://schemas.openxmlformats.org/officeDocument/2006/relationships/hyperlink" Target="https://encrypted-tbn0.gstatic.com/images?q=tbn:ANd9GcRqaXihHzthjMDgNkHAFfw_qyIk3_BrJa-GzyVro8z_jw&amp;s=10" TargetMode="External"/><Relationship Id="rId272" Type="http://schemas.openxmlformats.org/officeDocument/2006/relationships/hyperlink" Target="https://encrypted-tbn0.gstatic.com/images?q=tbn:ANd9GcQ2H1s_JgPFS_---5Pvu8KIzg_EiKkevvpQWqkgSplwrw&amp;s=10" TargetMode="External"/><Relationship Id="rId328" Type="http://schemas.openxmlformats.org/officeDocument/2006/relationships/hyperlink" Target="https://encrypted-tbn0.gstatic.com/images?q=tbn:ANd9GcTXll0mLpOjWi5FwHn0EG6btgaosaI2v6qQhcA4kHc4FQ&amp;s=10" TargetMode="External"/><Relationship Id="rId535" Type="http://schemas.openxmlformats.org/officeDocument/2006/relationships/hyperlink" Target="https://encrypted-tbn0.gstatic.com/images?q=tbn:ANd9GcQdtuzhgpnyUlv1Stm3BWL73CgII7Dk83xEdjALqRcHSA&amp;s=10" TargetMode="External"/><Relationship Id="rId132" Type="http://schemas.openxmlformats.org/officeDocument/2006/relationships/hyperlink" Target="https://encrypted-tbn0.gstatic.com/images?q=tbn:ANd9GcSKPfgAzBm8xfthMKkjII4yHl0sECcEDlC8xHwuswW83Q&amp;s=10" TargetMode="External"/><Relationship Id="rId174" Type="http://schemas.openxmlformats.org/officeDocument/2006/relationships/hyperlink" Target="https://encrypted-tbn0.gstatic.com/images?q=tbn:ANd9GcSvImZbNHGfTM-x_1SsRVq0A2SQfMzXgWzO5zKJkZbkkw&amp;s=10" TargetMode="External"/><Relationship Id="rId381" Type="http://schemas.openxmlformats.org/officeDocument/2006/relationships/hyperlink" Target="https://encrypted-tbn0.gstatic.com/images?q=tbn:ANd9GcRee3t_Zmja8ULvC4735F9yqa1EjeeeOXZXr0U2at0cvQ&amp;s" TargetMode="External"/><Relationship Id="rId241" Type="http://schemas.openxmlformats.org/officeDocument/2006/relationships/hyperlink" Target="https://encrypted-tbn0.gstatic.com/images?q=tbn:ANd9GcT6H_D7gPSnUa-pmawqSeKGvYbvnreJMRQl2fI4DczFFg&amp;s=10" TargetMode="External"/><Relationship Id="rId437" Type="http://schemas.openxmlformats.org/officeDocument/2006/relationships/hyperlink" Target="https://encrypted-tbn0.gstatic.com/images?q=tbn:ANd9GcQ_YpJupWh1p90Ps8vuUJgUPIy5oR2tRzkQhuq7Ff3VdQ&amp;s=10" TargetMode="External"/><Relationship Id="rId479" Type="http://schemas.openxmlformats.org/officeDocument/2006/relationships/hyperlink" Target="https://encrypted-tbn0.gstatic.com/images?q=tbn:ANd9GcRtD3obuT8VSwWhD7wEu2PRI3sR8Os3zjSVyazNFZwLaQ&amp;s=10" TargetMode="External"/><Relationship Id="rId36" Type="http://schemas.openxmlformats.org/officeDocument/2006/relationships/hyperlink" Target="https://encrypted-tbn0.gstatic.com/images?q=tbn:ANd9GcQy9ZHlsYSUp2NV6GaeHq_OlOUqSJuZlWR-cJXg98C5qA&amp;s=10" TargetMode="External"/><Relationship Id="rId283" Type="http://schemas.openxmlformats.org/officeDocument/2006/relationships/hyperlink" Target="https://encrypted-tbn0.gstatic.com/images?q=tbn:ANd9GcS-_g0w_JfVS9SXoJinSTC7ZcrfLXWTvNEuSqguSFZvXw&amp;s=10" TargetMode="External"/><Relationship Id="rId339" Type="http://schemas.openxmlformats.org/officeDocument/2006/relationships/hyperlink" Target="https://encrypted-tbn0.gstatic.com/images?q=tbn:ANd9GcRcWhcCw4s1dvxILEcMANuapWTI-8h1svK94aBEs2NODw&amp;s=10" TargetMode="External"/><Relationship Id="rId490" Type="http://schemas.openxmlformats.org/officeDocument/2006/relationships/hyperlink" Target="https://encrypted-tbn0.gstatic.com/images?q=tbn:ANd9GcSBaPmSjrQbulCWPEohgPPf9sbL5kYeBT_C59vrOEqlZQ&amp;s=10" TargetMode="External"/><Relationship Id="rId504" Type="http://schemas.openxmlformats.org/officeDocument/2006/relationships/hyperlink" Target="https://encrypted-tbn0.gstatic.com/images?q=tbn:ANd9GcS_DGn6f6Fgr_YKDIyWcZpUXoaQyVDE0YIbGHzO4Lni-A&amp;s=10" TargetMode="External"/><Relationship Id="rId78" Type="http://schemas.openxmlformats.org/officeDocument/2006/relationships/hyperlink" Target="https://encrypted-tbn0.gstatic.com/images?q=tbn:ANd9GcTbjy0ByeT4gFmK-BUcdpS9DGtVxgHSOQj6_y94tFvI1A&amp;s=10" TargetMode="External"/><Relationship Id="rId101" Type="http://schemas.openxmlformats.org/officeDocument/2006/relationships/hyperlink" Target="https://encrypted-tbn0.gstatic.com/images?q=tbn:ANd9GcTm6x0mHTFdho0_sf1cy0Igid4I_dp028qAh1xYiUnRaw&amp;s=10" TargetMode="External"/><Relationship Id="rId143" Type="http://schemas.openxmlformats.org/officeDocument/2006/relationships/hyperlink" Target="https://encrypted-tbn0.gstatic.com/images?q=tbn:ANd9GcRCYGlAzwdbT4gBt5xVjp8NoLKD72Lu4aKJn_aXsmFXnw&amp;s=10" TargetMode="External"/><Relationship Id="rId185" Type="http://schemas.openxmlformats.org/officeDocument/2006/relationships/hyperlink" Target="https://encrypted-tbn0.gstatic.com/images?q=tbn:ANd9GcSCzb1uGkiiCToF-9S78KWhCJAGwY3nwTJhPmTqWpASSg&amp;s=10" TargetMode="External"/><Relationship Id="rId350" Type="http://schemas.openxmlformats.org/officeDocument/2006/relationships/hyperlink" Target="https://encrypted-tbn0.gstatic.com/images?q=tbn:ANd9GcSeWmmLRhYpT-VLxrJdq6G3o-wSa_jbFJFnxal00nNtfA&amp;s=10" TargetMode="External"/><Relationship Id="rId406" Type="http://schemas.openxmlformats.org/officeDocument/2006/relationships/hyperlink" Target="https://encrypted-tbn0.gstatic.com/images?q=tbn:ANd9GcSXzoga6BWTGu8wFBcu3MwG-3ScFqYx2Hg-mnqH40o1xg&amp;s=10" TargetMode="External"/><Relationship Id="rId9" Type="http://schemas.openxmlformats.org/officeDocument/2006/relationships/hyperlink" Target="https://encrypted-tbn0.gstatic.com/images?q=tbn:ANd9GcSs5H4Hg4LKdfXhNpqocN8L6uNIgkwyT3omevaH-nHPfg&amp;s=10" TargetMode="External"/><Relationship Id="rId210" Type="http://schemas.openxmlformats.org/officeDocument/2006/relationships/hyperlink" Target="https://encrypted-tbn0.gstatic.com/images?q=tbn:ANd9GcTVY_koXYbloOaniwqY-AGcVyeN3QjySiqwwaOg5UFTjw&amp;s=10" TargetMode="External"/><Relationship Id="rId392" Type="http://schemas.openxmlformats.org/officeDocument/2006/relationships/hyperlink" Target="https://encrypted-tbn0.gstatic.com/images?q=tbn:ANd9GcQP59KWDj6q2QRHGOacIbQfPYlr2OgIIfoUf0miRd7anQ&amp;s=10" TargetMode="External"/><Relationship Id="rId448" Type="http://schemas.openxmlformats.org/officeDocument/2006/relationships/hyperlink" Target="https://encrypted-tbn0.gstatic.com/images?q=tbn:ANd9GcTzIXadmutBRgXdZNfPVpkViIXkWccJZWIuJ9fV7QtKLg&amp;s=10" TargetMode="External"/><Relationship Id="rId252" Type="http://schemas.openxmlformats.org/officeDocument/2006/relationships/hyperlink" Target="https://encrypted-tbn0.gstatic.com/images?q=tbn:ANd9GcRN38nbnaqSmefDywsOnI2yshe5lmqQVAeVxL8eVLsJCQ&amp;s=10" TargetMode="External"/><Relationship Id="rId294" Type="http://schemas.openxmlformats.org/officeDocument/2006/relationships/hyperlink" Target="https://encrypted-tbn0.gstatic.com/images?q=tbn:ANd9GcQaXUNyt8g3rvqIbFIUObf4p8q8reR9p-BN-A4_1tO1HQ&amp;s=10" TargetMode="External"/><Relationship Id="rId308" Type="http://schemas.openxmlformats.org/officeDocument/2006/relationships/hyperlink" Target="https://encrypted-tbn0.gstatic.com/images?q=tbn:ANd9GcQdYjuiTeuggmc5r4ngcUpMicrzC3tib6uLOko_BFBKVw&amp;s" TargetMode="External"/><Relationship Id="rId515" Type="http://schemas.openxmlformats.org/officeDocument/2006/relationships/hyperlink" Target="https://encrypted-tbn0.gstatic.com/images?q=tbn:ANd9GcQ1ueuxthaTCpjP1jzUh2foAJdqQDv0h86mdT4IUPuMcA&amp;s=10" TargetMode="External"/><Relationship Id="rId47" Type="http://schemas.openxmlformats.org/officeDocument/2006/relationships/hyperlink" Target="https://encrypted-tbn0.gstatic.com/images?q=tbn:ANd9GcQYl5F785Qfbd3LjAxNFftHmrstm0Dgtj4hkFO3hDuj5A&amp;s=10" TargetMode="External"/><Relationship Id="rId89" Type="http://schemas.openxmlformats.org/officeDocument/2006/relationships/hyperlink" Target="https://encrypted-tbn0.gstatic.com/images?q=tbn:ANd9GcTQtJAow6EblLqR7pVqppndDb1hFxcwfNqJT89iZ1pHXQ&amp;s=10" TargetMode="External"/><Relationship Id="rId112" Type="http://schemas.openxmlformats.org/officeDocument/2006/relationships/hyperlink" Target="https://encrypted-tbn0.gstatic.com/images?q=tbn:ANd9GcSBGoFhoiz9HpLyowH18X8S0lrn4VT--HcfO-pWNSkkYg&amp;s=10" TargetMode="External"/><Relationship Id="rId154" Type="http://schemas.openxmlformats.org/officeDocument/2006/relationships/hyperlink" Target="https://encrypted-tbn0.gstatic.com/images?q=tbn:ANd9GcT6ri39ELYTOmo5LN5ioJsfe2SDfdv8XzHqytzgZZE8WA&amp;s=10" TargetMode="External"/><Relationship Id="rId361" Type="http://schemas.openxmlformats.org/officeDocument/2006/relationships/hyperlink" Target="https://encrypted-tbn0.gstatic.com/images?q=tbn:ANd9GcQNA0ZgboireecMvGJSU_KLLkpQkYWaV9SvUSrEPi1TXg&amp;s=10" TargetMode="External"/><Relationship Id="rId196" Type="http://schemas.openxmlformats.org/officeDocument/2006/relationships/hyperlink" Target="https://encrypted-tbn0.gstatic.com/images?q=tbn:ANd9GcRytvYpelBNXwpSaFQb5Bugwg-j-L-wnIa2azEFEdv5IQ&amp;s=10" TargetMode="External"/><Relationship Id="rId417" Type="http://schemas.openxmlformats.org/officeDocument/2006/relationships/hyperlink" Target="https://encrypted-tbn0.gstatic.com/images?q=tbn:ANd9GcTxYBiN-a2o7xGMkODqOkOVnEPTfwE29eW1ibXdMpM_UA&amp;s=10" TargetMode="External"/><Relationship Id="rId459" Type="http://schemas.openxmlformats.org/officeDocument/2006/relationships/hyperlink" Target="https://encrypted-tbn0.gstatic.com/images?q=tbn:ANd9GcSimnRqr2XjIaQSGFcG1OvsLfmpiyteTVyqW60RGjkWOQ&amp;s=10" TargetMode="External"/><Relationship Id="rId16" Type="http://schemas.openxmlformats.org/officeDocument/2006/relationships/hyperlink" Target="https://encrypted-tbn0.gstatic.com/images?q=tbn:ANd9GcS84hcgfDrbFQ1xyNQXxpf4CY75ub10Qqm-vRKfpVY2oQ&amp;s=10" TargetMode="External"/><Relationship Id="rId221" Type="http://schemas.openxmlformats.org/officeDocument/2006/relationships/hyperlink" Target="https://encrypted-tbn0.gstatic.com/images?q=tbn:ANd9GcRLZd9ejPL9ikFMZsEm7mMzvBIrNU9_zHwip_RclIGl-A&amp;s=10" TargetMode="External"/><Relationship Id="rId263" Type="http://schemas.openxmlformats.org/officeDocument/2006/relationships/hyperlink" Target="https://encrypted-tbn0.gstatic.com/images?q=tbn:ANd9GcQCTACjBEDBarcUAkvVDW6-rXYX4IReFr0KqZfBvZtNYg&amp;s=10" TargetMode="External"/><Relationship Id="rId319" Type="http://schemas.openxmlformats.org/officeDocument/2006/relationships/hyperlink" Target="https://encrypted-tbn0.gstatic.com/images?q=tbn:ANd9GcQaod_e4DIPx5iDf0ebMOu3P_HxCWfXuybm07FgKA5iCQ&amp;s=10" TargetMode="External"/><Relationship Id="rId470" Type="http://schemas.openxmlformats.org/officeDocument/2006/relationships/hyperlink" Target="https://encrypted-tbn0.gstatic.com/images?q=tbn:ANd9GcTNImXmDoE3kplQZQYAv3Au3jiPiJEL-1s7qpklXRzXgg&amp;s=10" TargetMode="External"/><Relationship Id="rId526" Type="http://schemas.openxmlformats.org/officeDocument/2006/relationships/hyperlink" Target="https://encrypted-tbn0.gstatic.com/images?q=tbn:ANd9GcSslZNBmf4jKRQQ07ZxE9pqkcbDSmqiDC4eLcJ-7xUPRg&amp;s=10" TargetMode="External"/><Relationship Id="rId58" Type="http://schemas.openxmlformats.org/officeDocument/2006/relationships/hyperlink" Target="https://encrypted-tbn0.gstatic.com/images?q=tbn:ANd9GcTWJUMKrXIM99mzsHxrC8waA6wpFA7pTeXiANUEWqJWTQ&amp;s=10" TargetMode="External"/><Relationship Id="rId123" Type="http://schemas.openxmlformats.org/officeDocument/2006/relationships/hyperlink" Target="https://encrypted-tbn0.gstatic.com/images?q=tbn:ANd9GcTUOPEL4SE7OpSWoj3sc0LolTLe4UEUtYHS99GU1tYKWw&amp;s=10" TargetMode="External"/><Relationship Id="rId330" Type="http://schemas.openxmlformats.org/officeDocument/2006/relationships/hyperlink" Target="https://encrypted-tbn0.gstatic.com/images?q=tbn:ANd9GcSFplvx5hXzeG1J21hx4VKsQl6x6kWl3-MPw4qWGWCqxA&amp;s=10" TargetMode="External"/><Relationship Id="rId165" Type="http://schemas.openxmlformats.org/officeDocument/2006/relationships/hyperlink" Target="https://encrypted-tbn0.gstatic.com/images?q=tbn:ANd9GcSA1-2d2D0idd1HdFU1RJPez6i6kvMltCRXIUqsBgOBLw&amp;s=10" TargetMode="External"/><Relationship Id="rId372" Type="http://schemas.openxmlformats.org/officeDocument/2006/relationships/hyperlink" Target="https://encrypted-tbn0.gstatic.com/images?q=tbn:ANd9GcSSBP8MiZQa73c4-qtpkHpeaHWhjBIbk1_hhelwgyU8oQ&amp;s=10" TargetMode="External"/><Relationship Id="rId428" Type="http://schemas.openxmlformats.org/officeDocument/2006/relationships/hyperlink" Target="https://encrypted-tbn0.gstatic.com/images?q=tbn:ANd9GcTP0iMZYE3AsaxEg9AOdWzDisOKBprhFMWzwcnpH0hdUA&amp;s=10" TargetMode="External"/><Relationship Id="rId232" Type="http://schemas.openxmlformats.org/officeDocument/2006/relationships/hyperlink" Target="https://encrypted-tbn0.gstatic.com/images?q=tbn:ANd9GcTyIccdtmm0EoO8ZWeFVBP9y7p_94sGxxj3H8Ctsr_Efg&amp;s=10" TargetMode="External"/><Relationship Id="rId274" Type="http://schemas.openxmlformats.org/officeDocument/2006/relationships/hyperlink" Target="https://encrypted-tbn0.gstatic.com/images?q=tbn:ANd9GcQ2H1s_JgPFS_---5Pvu8KIzg_EiKkevvpQWqkgSplwrw&amp;s=10" TargetMode="External"/><Relationship Id="rId481" Type="http://schemas.openxmlformats.org/officeDocument/2006/relationships/hyperlink" Target="https://encrypted-tbn0.gstatic.com/images?q=tbn:ANd9GcT-ZmG3kgjCb2ne8DkS_AiWkkIoOxeSp2trzETtebf_QQ&amp;s=10" TargetMode="External"/><Relationship Id="rId27" Type="http://schemas.openxmlformats.org/officeDocument/2006/relationships/hyperlink" Target="https://encrypted-tbn0.gstatic.com/images?q=tbn:ANd9GcTqbn64dlQi6qH2lV8EctFviri35m2G7yJMudduBJo-bA&amp;s=10" TargetMode="External"/><Relationship Id="rId69" Type="http://schemas.openxmlformats.org/officeDocument/2006/relationships/hyperlink" Target="https://encrypted-tbn0.gstatic.com/images?q=tbn:ANd9GcQJEpadggR2g5wLB6vDB1PUvciRzpEMIvxmibfnNKpjoA&amp;s=10" TargetMode="External"/><Relationship Id="rId134" Type="http://schemas.openxmlformats.org/officeDocument/2006/relationships/hyperlink" Target="https://encrypted-tbn0.gstatic.com/images?q=tbn:ANd9GcSKPfgAzBm8xfthMKkjII4yHl0sECcEDlC8xHwuswW83Q&amp;s=10" TargetMode="External"/><Relationship Id="rId80" Type="http://schemas.openxmlformats.org/officeDocument/2006/relationships/hyperlink" Target="https://encrypted-tbn0.gstatic.com/images?q=tbn:ANd9GcQ0MIUspIgSOmIsbV4kgQiX7nEFBsX6TM_RJ9LTEnMJPA&amp;s=10" TargetMode="External"/><Relationship Id="rId176" Type="http://schemas.openxmlformats.org/officeDocument/2006/relationships/hyperlink" Target="https://encrypted-tbn0.gstatic.com/images?q=tbn:ANd9GcQF88nYbOC23tYkOSZZskS2yWuNwwa_Bqx98xEQcxksHA&amp;s=10" TargetMode="External"/><Relationship Id="rId341" Type="http://schemas.openxmlformats.org/officeDocument/2006/relationships/hyperlink" Target="https://encrypted-tbn0.gstatic.com/images?q=tbn:ANd9GcRcWhcCw4s1dvxILEcMANuapWTI-8h1svK94aBEs2NODw&amp;s=10" TargetMode="External"/><Relationship Id="rId383" Type="http://schemas.openxmlformats.org/officeDocument/2006/relationships/hyperlink" Target="https://encrypted-tbn0.gstatic.com/images?q=tbn:ANd9GcRee3t_Zmja8ULvC4735F9yqa1EjeeeOXZXr0U2at0cvQ&amp;s" TargetMode="External"/><Relationship Id="rId439" Type="http://schemas.openxmlformats.org/officeDocument/2006/relationships/hyperlink" Target="https://encrypted-tbn0.gstatic.com/images?q=tbn:ANd9GcQL6i7DQu1M53AQ01YuXNrS1RUrsckz9PMzC7yVm3tRJQ&amp;s=10" TargetMode="External"/><Relationship Id="rId201" Type="http://schemas.openxmlformats.org/officeDocument/2006/relationships/hyperlink" Target="https://encrypted-tbn0.gstatic.com/images?q=tbn:ANd9GcRSixPcAZ-Bi2Bi5Jm1ct75IvxRQDjCePEbk0bIUuso1A&amp;s=10" TargetMode="External"/><Relationship Id="rId243" Type="http://schemas.openxmlformats.org/officeDocument/2006/relationships/hyperlink" Target="https://encrypted-tbn0.gstatic.com/images?q=tbn:ANd9GcQlVvBHvdbzLI3fW5gGMYKGaIJfUmvzYy-7Zgys5Y4LRg&amp;s=10" TargetMode="External"/><Relationship Id="rId285" Type="http://schemas.openxmlformats.org/officeDocument/2006/relationships/hyperlink" Target="https://encrypted-tbn0.gstatic.com/images?q=tbn:ANd9GcSi88lf2Tzj_X-QqIb-tdnIk3ykV03GB8LnA7xTlqaxHw&amp;s=10" TargetMode="External"/><Relationship Id="rId450" Type="http://schemas.openxmlformats.org/officeDocument/2006/relationships/hyperlink" Target="https://encrypted-tbn0.gstatic.com/images?q=tbn:ANd9GcSLKAP9DdhMDZvhwUUgXFGOCAzdr-VgGFy1E5Zjm4rIkg&amp;s=10" TargetMode="External"/><Relationship Id="rId506" Type="http://schemas.openxmlformats.org/officeDocument/2006/relationships/hyperlink" Target="https://encrypted-tbn0.gstatic.com/images?q=tbn:ANd9GcS_DGn6f6Fgr_YKDIyWcZpUXoaQyVDE0YIbGHzO4Lni-A&amp;s=10" TargetMode="External"/><Relationship Id="rId38" Type="http://schemas.openxmlformats.org/officeDocument/2006/relationships/hyperlink" Target="https://encrypted-tbn0.gstatic.com/images?q=tbn:ANd9GcQgDC1uELzxBpCa-jmvqe27pL90koE_H7PG5nMhqX_XQA&amp;s=10" TargetMode="External"/><Relationship Id="rId103" Type="http://schemas.openxmlformats.org/officeDocument/2006/relationships/hyperlink" Target="https://encrypted-tbn0.gstatic.com/images?q=tbn:ANd9GcTm6x0mHTFdho0_sf1cy0Igid4I_dp028qAh1xYiUnRaw&amp;s=10" TargetMode="External"/><Relationship Id="rId310" Type="http://schemas.openxmlformats.org/officeDocument/2006/relationships/hyperlink" Target="https://encrypted-tbn0.gstatic.com/images?q=tbn:ANd9GcQnmZW0myfYag3WCthfwUyUU_1rNZF1fMt7BicXur36bg&amp;s=10" TargetMode="External"/><Relationship Id="rId492" Type="http://schemas.openxmlformats.org/officeDocument/2006/relationships/hyperlink" Target="https://encrypted-tbn0.gstatic.com/images?q=tbn:ANd9GcTeYy2sPMC-ciNwCxuyE97Et48499FShTzVm3eeTajW5Q&amp;s=10" TargetMode="External"/><Relationship Id="rId91" Type="http://schemas.openxmlformats.org/officeDocument/2006/relationships/hyperlink" Target="https://encrypted-tbn0.gstatic.com/images?q=tbn:ANd9GcTQtJAow6EblLqR7pVqppndDb1hFxcwfNqJT89iZ1pHXQ&amp;s=10" TargetMode="External"/><Relationship Id="rId145" Type="http://schemas.openxmlformats.org/officeDocument/2006/relationships/hyperlink" Target="https://encrypted-tbn0.gstatic.com/images?q=tbn:ANd9GcRCYGlAzwdbT4gBt5xVjp8NoLKD72Lu4aKJn_aXsmFXnw&amp;s=10" TargetMode="External"/><Relationship Id="rId187" Type="http://schemas.openxmlformats.org/officeDocument/2006/relationships/hyperlink" Target="https://encrypted-tbn0.gstatic.com/images?q=tbn:ANd9GcSv-jddf3KoimM0fD7W8wrwi0-zQCttg65D1Ug2RVPAqw&amp;s=10" TargetMode="External"/><Relationship Id="rId352" Type="http://schemas.openxmlformats.org/officeDocument/2006/relationships/hyperlink" Target="https://encrypted-tbn0.gstatic.com/images?q=tbn:ANd9GcT234Wh2PP-pMgpMGXVAXFUjNEhJzdLU0zUpeeVixQwVQ&amp;s=10" TargetMode="External"/><Relationship Id="rId394" Type="http://schemas.openxmlformats.org/officeDocument/2006/relationships/hyperlink" Target="https://encrypted-tbn0.gstatic.com/images?q=tbn:ANd9GcQNLOzHLyxkgF4PteJB5njFZyAFoNDpzmEYYIvx3Btdeg&amp;s=10" TargetMode="External"/><Relationship Id="rId408" Type="http://schemas.openxmlformats.org/officeDocument/2006/relationships/hyperlink" Target="https://encrypted-tbn0.gstatic.com/images?q=tbn:ANd9GcSTTCK42v82U1S8jGcHclDEd1600z011PcwQtr6qXqkBA&amp;s=10" TargetMode="External"/><Relationship Id="rId212" Type="http://schemas.openxmlformats.org/officeDocument/2006/relationships/hyperlink" Target="https://tse2.mm.bing.net/th/id/OIP.VNg_50PFfG_SuaVhqkZrKgHaE7?r=0&amp;pid=Api&amp;h=220&amp;P=0" TargetMode="External"/><Relationship Id="rId254" Type="http://schemas.openxmlformats.org/officeDocument/2006/relationships/hyperlink" Target="https://encrypted-tbn0.gstatic.com/images?q=tbn:ANd9GcT4gVLYT6WzBcELX0L4knbh8MSeqrTJ5scXD5Fj3oJLrQ&amp;s=10" TargetMode="External"/><Relationship Id="rId49" Type="http://schemas.openxmlformats.org/officeDocument/2006/relationships/hyperlink" Target="https://encrypted-tbn0.gstatic.com/images?q=tbn:ANd9GcQlvA9sbz6QBhEQCaQfbbe9-qQgAxxDWBwqBrql-_iSKA&amp;s=10" TargetMode="External"/><Relationship Id="rId114" Type="http://schemas.openxmlformats.org/officeDocument/2006/relationships/hyperlink" Target="https://encrypted-tbn0.gstatic.com/images?q=tbn:ANd9GcS_x2eMGCbvjEB-BFenSPK3h01JgVvof1kA-lIBl2q8DQ&amp;s=10" TargetMode="External"/><Relationship Id="rId296" Type="http://schemas.openxmlformats.org/officeDocument/2006/relationships/hyperlink" Target="https://encrypted-tbn0.gstatic.com/images?q=tbn:ANd9GcRr5_niQelrYtPoJSNpl-X_QVXNXLKaaip49pmqxk-oUg&amp;s=10" TargetMode="External"/><Relationship Id="rId461" Type="http://schemas.openxmlformats.org/officeDocument/2006/relationships/hyperlink" Target="https://encrypted-tbn0.gstatic.com/images?q=tbn:ANd9GcSimnRqr2XjIaQSGFcG1OvsLfmpiyteTVyqW60RGjkWOQ&amp;s=10" TargetMode="External"/><Relationship Id="rId517" Type="http://schemas.openxmlformats.org/officeDocument/2006/relationships/hyperlink" Target="https://encrypted-tbn0.gstatic.com/images?q=tbn:ANd9GcSYrhRsNO5aY4Avq-1bct-_M9AMPh1rosSamhgjwbGX4Q&amp;s" TargetMode="External"/><Relationship Id="rId60" Type="http://schemas.openxmlformats.org/officeDocument/2006/relationships/hyperlink" Target="https://encrypted-tbn0.gstatic.com/images?q=tbn:ANd9GcQhuWYAdK92Wax7wa4CHg0DwoYag4AcG0_o0c_6MOTTpQ&amp;s=10" TargetMode="External"/><Relationship Id="rId156" Type="http://schemas.openxmlformats.org/officeDocument/2006/relationships/hyperlink" Target="https://encrypted-tbn0.gstatic.com/images?q=tbn:ANd9GcT6ri39ELYTOmo5LN5ioJsfe2SDfdv8XzHqytzgZZE8WA&amp;s=10" TargetMode="External"/><Relationship Id="rId198" Type="http://schemas.openxmlformats.org/officeDocument/2006/relationships/hyperlink" Target="https://encrypted-tbn0.gstatic.com/images?q=tbn:ANd9GcRytvYpelBNXwpSaFQb5Bugwg-j-L-wnIa2azEFEdv5IQ&amp;s=10" TargetMode="External"/><Relationship Id="rId321" Type="http://schemas.openxmlformats.org/officeDocument/2006/relationships/hyperlink" Target="https://encrypted-tbn0.gstatic.com/images?q=tbn:ANd9GcQaod_e4DIPx5iDf0ebMOu3P_HxCWfXuybm07FgKA5iCQ&amp;s=10" TargetMode="External"/><Relationship Id="rId363" Type="http://schemas.openxmlformats.org/officeDocument/2006/relationships/hyperlink" Target="https://encrypted-tbn0.gstatic.com/images?q=tbn:ANd9GcSkvlzxALpESae0T54sXJB9UoOnoCN_TPqNocxy_6sbRQ&amp;s=10" TargetMode="External"/><Relationship Id="rId419" Type="http://schemas.openxmlformats.org/officeDocument/2006/relationships/hyperlink" Target="https://encrypted-tbn0.gstatic.com/images?q=tbn:ANd9GcTxYBiN-a2o7xGMkODqOkOVnEPTfwE29eW1ibXdMpM_UA&amp;s=10" TargetMode="External"/><Relationship Id="rId223" Type="http://schemas.openxmlformats.org/officeDocument/2006/relationships/hyperlink" Target="https://encrypted-tbn0.gstatic.com/images?q=tbn:ANd9GcRLZd9ejPL9ikFMZsEm7mMzvBIrNU9_zHwip_RclIGl-A&amp;s=10" TargetMode="External"/><Relationship Id="rId430" Type="http://schemas.openxmlformats.org/officeDocument/2006/relationships/hyperlink" Target="https://encrypted-tbn0.gstatic.com/images?q=tbn:ANd9GcT9F_dyl3JFqQ5FyMCiK4voJzJ9YJ5AQp9cu8R5IRpM2A&amp;s=10" TargetMode="External"/><Relationship Id="rId18" Type="http://schemas.openxmlformats.org/officeDocument/2006/relationships/hyperlink" Target="https://encrypted-tbn0.gstatic.com/images?q=tbn:ANd9GcQr1yWZQ2TXATlaXrPNgnR4dc_eZ60UsTOKqK_bxKwcWg&amp;s=10" TargetMode="External"/><Relationship Id="rId265" Type="http://schemas.openxmlformats.org/officeDocument/2006/relationships/hyperlink" Target="https://encrypted-tbn0.gstatic.com/images?q=tbn:ANd9GcQCTACjBEDBarcUAkvVDW6-rXYX4IReFr0KqZfBvZtNYg&amp;s=10" TargetMode="External"/><Relationship Id="rId472" Type="http://schemas.openxmlformats.org/officeDocument/2006/relationships/hyperlink" Target="https://encrypted-tbn0.gstatic.com/images?q=tbn:ANd9GcTitGai0PHE0NI0BmdlLn9yKQYuApOqrz3EAxZ9lb1KHw&amp;s=10" TargetMode="External"/><Relationship Id="rId528" Type="http://schemas.openxmlformats.org/officeDocument/2006/relationships/hyperlink" Target="https://encrypted-tbn0.gstatic.com/images?q=tbn:ANd9GcR4aEXbMEaTMZIuBOC4ZtBOxGvO9E2_9-JcKpXQz5Wv7A&amp;s=10" TargetMode="External"/><Relationship Id="rId125" Type="http://schemas.openxmlformats.org/officeDocument/2006/relationships/hyperlink" Target="https://encrypted-tbn0.gstatic.com/images?q=tbn:ANd9GcR4tiyo7RhJ1cI142WVKZ42nSEK3a9vslGlS9THBbY-Lg&amp;s=10" TargetMode="External"/><Relationship Id="rId167" Type="http://schemas.openxmlformats.org/officeDocument/2006/relationships/hyperlink" Target="https://encrypted-tbn0.gstatic.com/images?q=tbn:ANd9GcSA1-2d2D0idd1HdFU1RJPez6i6kvMltCRXIUqsBgOBLw&amp;s=10" TargetMode="External"/><Relationship Id="rId332" Type="http://schemas.openxmlformats.org/officeDocument/2006/relationships/hyperlink" Target="https://encrypted-tbn0.gstatic.com/images?q=tbn:ANd9GcSFplvx5hXzeG1J21hx4VKsQl6x6kWl3-MPw4qWGWCqxA&amp;s=10" TargetMode="External"/><Relationship Id="rId374" Type="http://schemas.openxmlformats.org/officeDocument/2006/relationships/hyperlink" Target="https://encrypted-tbn0.gstatic.com/images?q=tbn:ANd9GcSSBP8MiZQa73c4-qtpkHpeaHWhjBIbk1_hhelwgyU8oQ&amp;s=10" TargetMode="External"/><Relationship Id="rId71" Type="http://schemas.openxmlformats.org/officeDocument/2006/relationships/hyperlink" Target="https://encrypted-tbn0.gstatic.com/images?q=tbn:ANd9GcQJEpadggR2g5wLB6vDB1PUvciRzpEMIvxmibfnNKpjoA&amp;s=10" TargetMode="External"/><Relationship Id="rId234" Type="http://schemas.openxmlformats.org/officeDocument/2006/relationships/hyperlink" Target="https://encrypted-tbn0.gstatic.com/images?q=tbn:ANd9GcTyIccdtmm0EoO8ZWeFVBP9y7p_94sGxxj3H8Ctsr_Efg&amp;s=10" TargetMode="External"/><Relationship Id="rId2" Type="http://schemas.openxmlformats.org/officeDocument/2006/relationships/hyperlink" Target="https://encrypted-tbn0.gstatic.com/images?q=tbn:ANd9GcQ9Gs-lxsnV4CcpqBw0dWXFLZhI_2chOaOxUntL3Sy41w&amp;s=10" TargetMode="External"/><Relationship Id="rId29" Type="http://schemas.openxmlformats.org/officeDocument/2006/relationships/hyperlink" Target="https://encrypted-tbn0.gstatic.com/images?q=tbn:ANd9GcQ2_UKLZ8jUU_u7gXoe9w3iVw1gNxxEM8lU4a2zFHnSeQ&amp;s=10" TargetMode="External"/><Relationship Id="rId276" Type="http://schemas.openxmlformats.org/officeDocument/2006/relationships/hyperlink" Target="https://encrypted-tbn0.gstatic.com/images?q=tbn:ANd9GcQ2H1s_JgPFS_---5Pvu8KIzg_EiKkevvpQWqkgSplwrw&amp;s=10" TargetMode="External"/><Relationship Id="rId441" Type="http://schemas.openxmlformats.org/officeDocument/2006/relationships/hyperlink" Target="https://encrypted-tbn0.gstatic.com/images?q=tbn:ANd9GcT4jx-R6aUriqfcOr-fmRrc7KpU7F3IeVdpCHwk2yrcxg&amp;s=10" TargetMode="External"/><Relationship Id="rId483" Type="http://schemas.openxmlformats.org/officeDocument/2006/relationships/hyperlink" Target="https://encrypted-tbn0.gstatic.com/images?q=tbn:ANd9GcQdJAi_d8Qquehxzv7xb71r7jJW4fBIOMGxc1YjXGDIlA&amp;s=10" TargetMode="External"/><Relationship Id="rId40" Type="http://schemas.openxmlformats.org/officeDocument/2006/relationships/hyperlink" Target="https://encrypted-tbn0.gstatic.com/images?q=tbn:ANd9GcT1-TzHbNMfZnxnJd5JgRWiLF4ZP-nEV9yzl5e3y7kE_g&amp;s=10" TargetMode="External"/><Relationship Id="rId136" Type="http://schemas.openxmlformats.org/officeDocument/2006/relationships/hyperlink" Target="https://encrypted-tbn0.gstatic.com/images?q=tbn:ANd9GcSKPfgAzBm8xfthMKkjII4yHl0sECcEDlC8xHwuswW83Q&amp;s=10" TargetMode="External"/><Relationship Id="rId178" Type="http://schemas.openxmlformats.org/officeDocument/2006/relationships/hyperlink" Target="https://encrypted-tbn0.gstatic.com/images?q=tbn:ANd9GcSXneigZ0MquxJ7p4HVytGzoC36ByzCUswHRq7fuL4ijg&amp;s=10" TargetMode="External"/><Relationship Id="rId301" Type="http://schemas.openxmlformats.org/officeDocument/2006/relationships/hyperlink" Target="https://encrypted-tbn0.gstatic.com/images?q=tbn:ANd9GcSXquwC3NX7G-v1Gdv4SlI4lWXBC4429JDSjJ4ap_quzg&amp;s=10" TargetMode="External"/><Relationship Id="rId343" Type="http://schemas.openxmlformats.org/officeDocument/2006/relationships/hyperlink" Target="https://encrypted-tbn0.gstatic.com/images?q=tbn:ANd9GcRcWhcCw4s1dvxILEcMANuapWTI-8h1svK94aBEs2NODw&amp;s=10" TargetMode="External"/><Relationship Id="rId82" Type="http://schemas.openxmlformats.org/officeDocument/2006/relationships/hyperlink" Target="https://encrypted-tbn0.gstatic.com/images?q=tbn:ANd9GcQbgiWaAii-rLTVl6ZNNJNWExUfcLonWEuAEGkB_oMWmg&amp;s=10" TargetMode="External"/><Relationship Id="rId203" Type="http://schemas.openxmlformats.org/officeDocument/2006/relationships/hyperlink" Target="https://encrypted-tbn0.gstatic.com/images?q=tbn:ANd9GcSHiWStnk5_2JnaXkPHjC4ry3_mCt5BToJ269UN7T2jow&amp;s=10" TargetMode="External"/><Relationship Id="rId385" Type="http://schemas.openxmlformats.org/officeDocument/2006/relationships/hyperlink" Target="https://encrypted-tbn0.gstatic.com/images?q=tbn:ANd9GcS_ZKWYLZbv51UoFRq8RaenZZSktdgu9wQYOXVZWv-GnQ&amp;s=10" TargetMode="External"/><Relationship Id="rId245" Type="http://schemas.openxmlformats.org/officeDocument/2006/relationships/hyperlink" Target="https://encrypted-tbn0.gstatic.com/images?q=tbn:ANd9GcQrWg2LQ3eSmXndWFUDKR6dwYuecPtr-FU7HQn02PrBAQ&amp;s=10" TargetMode="External"/><Relationship Id="rId287" Type="http://schemas.openxmlformats.org/officeDocument/2006/relationships/hyperlink" Target="https://encrypted-tbn0.gstatic.com/images?q=tbn:ANd9GcTH5mFu_vxi7uAgnA8SjtxqWgBW4O0vDfgSRppJkKSMqA&amp;s" TargetMode="External"/><Relationship Id="rId410" Type="http://schemas.openxmlformats.org/officeDocument/2006/relationships/hyperlink" Target="https://encrypted-tbn0.gstatic.com/images?q=tbn:ANd9GcSTTCK42v82U1S8jGcHclDEd1600z011PcwQtr6qXqkBA&amp;s=10" TargetMode="External"/><Relationship Id="rId452" Type="http://schemas.openxmlformats.org/officeDocument/2006/relationships/hyperlink" Target="https://encrypted-tbn0.gstatic.com/images?q=tbn:ANd9GcSNhZAbqZEqeGGAKBQW9gUpu35_cRwuiihALc-3KtX_uA&amp;s=10" TargetMode="External"/><Relationship Id="rId494" Type="http://schemas.openxmlformats.org/officeDocument/2006/relationships/hyperlink" Target="https://encrypted-tbn0.gstatic.com/images?q=tbn:ANd9GcTeYy2sPMC-ciNwCxuyE97Et48499FShTzVm3eeTajW5Q&amp;s=10" TargetMode="External"/><Relationship Id="rId508" Type="http://schemas.openxmlformats.org/officeDocument/2006/relationships/hyperlink" Target="https://encrypted-tbn0.gstatic.com/images?q=tbn:ANd9GcS_DGn6f6Fgr_YKDIyWcZpUXoaQyVDE0YIbGHzO4Lni-A&amp;s=10" TargetMode="External"/><Relationship Id="rId105" Type="http://schemas.openxmlformats.org/officeDocument/2006/relationships/hyperlink" Target="https://encrypted-tbn0.gstatic.com/images?q=tbn:ANd9GcSmMx7k3cPTCR_VvVPLaUMUFEaHYYQAp7Y___wy77E4gA&amp;s=10" TargetMode="External"/><Relationship Id="rId147" Type="http://schemas.openxmlformats.org/officeDocument/2006/relationships/hyperlink" Target="https://encrypted-tbn0.gstatic.com/images?q=tbn:ANd9GcRCYGlAzwdbT4gBt5xVjp8NoLKD72Lu4aKJn_aXsmFXnw&amp;s=10" TargetMode="External"/><Relationship Id="rId312" Type="http://schemas.openxmlformats.org/officeDocument/2006/relationships/hyperlink" Target="https://encrypted-tbn0.gstatic.com/images?q=tbn:ANd9GcSYHiKQXWtAJfLjukoH6Nb27SLmODz80Kteo0DJrrlkyg&amp;s=10" TargetMode="External"/><Relationship Id="rId354" Type="http://schemas.openxmlformats.org/officeDocument/2006/relationships/hyperlink" Target="https://encrypted-tbn0.gstatic.com/images?q=tbn:ANd9GcRS74TbnNeZSUL6GmaKyMZmZLgRUqPwsADhKnRwv4Oawg&amp;s=10" TargetMode="External"/><Relationship Id="rId51" Type="http://schemas.openxmlformats.org/officeDocument/2006/relationships/hyperlink" Target="https://encrypted-tbn0.gstatic.com/images?q=tbn:ANd9GcQlvA9sbz6QBhEQCaQfbbe9-qQgAxxDWBwqBrql-_iSKA&amp;s=10" TargetMode="External"/><Relationship Id="rId93" Type="http://schemas.openxmlformats.org/officeDocument/2006/relationships/hyperlink" Target="https://encrypted-tbn0.gstatic.com/images?q=tbn:ANd9GcTQtJAow6EblLqR7pVqppndDb1hFxcwfNqJT89iZ1pHXQ&amp;s=10" TargetMode="External"/><Relationship Id="rId189" Type="http://schemas.openxmlformats.org/officeDocument/2006/relationships/hyperlink" Target="https://encrypted-tbn0.gstatic.com/images?q=tbn:ANd9GcRytvYpelBNXwpSaFQb5Bugwg-j-L-wnIa2azEFEdv5IQ&amp;s=10" TargetMode="External"/><Relationship Id="rId396" Type="http://schemas.openxmlformats.org/officeDocument/2006/relationships/hyperlink" Target="https://encrypted-tbn0.gstatic.com/images?q=tbn:ANd9GcSXzoga6BWTGu8wFBcu3MwG-3ScFqYx2Hg-mnqH40o1xg&amp;s=10" TargetMode="External"/><Relationship Id="rId214" Type="http://schemas.openxmlformats.org/officeDocument/2006/relationships/hyperlink" Target="https://encrypted-tbn0.gstatic.com/images?q=tbn:ANd9GcSiMDyO71nfQJmWlxNLz0R4S-osI-CJWHJ6RlsNiQgq1w&amp;s=10" TargetMode="External"/><Relationship Id="rId256" Type="http://schemas.openxmlformats.org/officeDocument/2006/relationships/hyperlink" Target="https://encrypted-tbn0.gstatic.com/images?q=tbn:ANd9GcSp_8VtMj2STExuo_WQwxbyfxhmThMkxR6yjHIVnWHXjA&amp;s=10" TargetMode="External"/><Relationship Id="rId298" Type="http://schemas.openxmlformats.org/officeDocument/2006/relationships/hyperlink" Target="https://encrypted-tbn0.gstatic.com/images?q=tbn:ANd9GcTmJeoNp2GruETr1TVwLHmEG4vz09ikFk9w9BCPDC1BFg&amp;s=10" TargetMode="External"/><Relationship Id="rId421" Type="http://schemas.openxmlformats.org/officeDocument/2006/relationships/hyperlink" Target="https://encrypted-tbn0.gstatic.com/images?q=tbn:ANd9GcRK4liUQBDuNK679Bnh5SHHpGD5Lph0gQQSranaxtbZTQ&amp;s" TargetMode="External"/><Relationship Id="rId463" Type="http://schemas.openxmlformats.org/officeDocument/2006/relationships/hyperlink" Target="https://encrypted-tbn0.gstatic.com/images?q=tbn:ANd9GcT3HVwQtDlzsD26pKTjBqpMXmfyVp20kQLYwwBkTNus-g&amp;s=10" TargetMode="External"/><Relationship Id="rId519" Type="http://schemas.openxmlformats.org/officeDocument/2006/relationships/hyperlink" Target="https://encrypted-tbn0.gstatic.com/images?q=tbn:ANd9GcSYrhRsNO5aY4Avq-1bct-_M9AMPh1rosSamhgjwbGX4Q&amp;s" TargetMode="External"/><Relationship Id="rId116" Type="http://schemas.openxmlformats.org/officeDocument/2006/relationships/hyperlink" Target="https://encrypted-tbn0.gstatic.com/images?q=tbn:ANd9GcSNdkoGOCqmPv0DgDYAp_Pqdi4vOvaTLD7OmuwUQdQ33A&amp;s=10" TargetMode="External"/><Relationship Id="rId158" Type="http://schemas.openxmlformats.org/officeDocument/2006/relationships/hyperlink" Target="https://encrypted-tbn0.gstatic.com/images?q=tbn:ANd9GcT6ri39ELYTOmo5LN5ioJsfe2SDfdv8XzHqytzgZZE8WA&amp;s=10" TargetMode="External"/><Relationship Id="rId323" Type="http://schemas.openxmlformats.org/officeDocument/2006/relationships/hyperlink" Target="https://encrypted-tbn0.gstatic.com/images?q=tbn:ANd9GcTACDz3vR2HMe5U8EiqjiYkTch83LwfBcPQ6QlBUvH0yQ&amp;s=10" TargetMode="External"/><Relationship Id="rId530" Type="http://schemas.openxmlformats.org/officeDocument/2006/relationships/hyperlink" Target="https://encrypted-tbn0.gstatic.com/images?q=tbn:ANd9GcSKPfgAzBm8xfthMKkjII4yHl0sECcEDlC8xHwuswW83Q&amp;s=10" TargetMode="External"/><Relationship Id="rId20" Type="http://schemas.openxmlformats.org/officeDocument/2006/relationships/hyperlink" Target="https://encrypted-tbn0.gstatic.com/images?q=tbn:ANd9GcQr1yWZQ2TXATlaXrPNgnR4dc_eZ60UsTOKqK_bxKwcWg&amp;s=10" TargetMode="External"/><Relationship Id="rId62" Type="http://schemas.openxmlformats.org/officeDocument/2006/relationships/hyperlink" Target="https://encrypted-tbn0.gstatic.com/images?q=tbn:ANd9GcQhuWYAdK92Wax7wa4CHg0DwoYag4AcG0_o0c_6MOTTpQ&amp;s=10" TargetMode="External"/><Relationship Id="rId365" Type="http://schemas.openxmlformats.org/officeDocument/2006/relationships/hyperlink" Target="https://encrypted-tbn0.gstatic.com/images?q=tbn:ANd9GcSkvlzxALpESae0T54sXJB9UoOnoCN_TPqNocxy_6sbRQ&amp;s=10" TargetMode="External"/><Relationship Id="rId225" Type="http://schemas.openxmlformats.org/officeDocument/2006/relationships/hyperlink" Target="https://encrypted-tbn0.gstatic.com/images?q=tbn:ANd9GcSIwl6G5Ta5L-iko1omkhL7h8mkokXPRVbxobLEIiMvSQ&amp;s=10" TargetMode="External"/><Relationship Id="rId267" Type="http://schemas.openxmlformats.org/officeDocument/2006/relationships/hyperlink" Target="https://encrypted-tbn0.gstatic.com/images?q=tbn:ANd9GcSBQzqIfvmQkXjhAf1_ey889crgKiteXvoSNjlBtSllVw&amp;s=10" TargetMode="External"/><Relationship Id="rId432" Type="http://schemas.openxmlformats.org/officeDocument/2006/relationships/hyperlink" Target="https://encrypted-tbn0.gstatic.com/images?q=tbn:ANd9GcSb6-tckZMPTLXjDqFLMskVX3qWpJUnMcXeIYbK1qsTHA&amp;s=10" TargetMode="External"/><Relationship Id="rId474" Type="http://schemas.openxmlformats.org/officeDocument/2006/relationships/hyperlink" Target="https://encrypted-tbn0.gstatic.com/images?q=tbn:ANd9GcR9gNtTNa-MA-T4Z0EpYhsyGvQQui5fL6FxjCkbyFBPtg&amp;s=10" TargetMode="External"/><Relationship Id="rId127" Type="http://schemas.openxmlformats.org/officeDocument/2006/relationships/hyperlink" Target="https://encrypted-tbn0.gstatic.com/images?q=tbn:ANd9GcR4tiyo7RhJ1cI142WVKZ42nSEK3a9vslGlS9THBbY-Lg&amp;s=10" TargetMode="External"/><Relationship Id="rId31" Type="http://schemas.openxmlformats.org/officeDocument/2006/relationships/hyperlink" Target="https://encrypted-tbn0.gstatic.com/images?q=tbn:ANd9GcQOl8xOkqePMFfzSANkoRX3EGnQ09CrtIQkbCDYvKpi6A&amp;s=10" TargetMode="External"/><Relationship Id="rId73" Type="http://schemas.openxmlformats.org/officeDocument/2006/relationships/hyperlink" Target="https://encrypted-tbn0.gstatic.com/images?q=tbn:ANd9GcRRvIpCIozdxIWFCsj_UMtngrFefEqEDEkZ6bz2SPsJkQ&amp;s=10" TargetMode="External"/><Relationship Id="rId169" Type="http://schemas.openxmlformats.org/officeDocument/2006/relationships/hyperlink" Target="https://encrypted-tbn0.gstatic.com/images?q=tbn:ANd9GcSA1-2d2D0idd1HdFU1RJPez6i6kvMltCRXIUqsBgOBLw&amp;s=10" TargetMode="External"/><Relationship Id="rId334" Type="http://schemas.openxmlformats.org/officeDocument/2006/relationships/hyperlink" Target="https://encrypted-tbn0.gstatic.com/images?q=tbn:ANd9GcSJUcnrmtnJDtvuhUmmbHtM0bwm2KXsJlakIWCsnE7L8Q&amp;s=10" TargetMode="External"/><Relationship Id="rId376" Type="http://schemas.openxmlformats.org/officeDocument/2006/relationships/hyperlink" Target="https://encrypted-tbn0.gstatic.com/images?q=tbn:ANd9GcTLOzPjD4Jatawvvra-5-5RF5wFbSEOvBhmT4PECymPDA&amp;s" TargetMode="External"/><Relationship Id="rId4" Type="http://schemas.openxmlformats.org/officeDocument/2006/relationships/hyperlink" Target="https://encrypted-tbn0.gstatic.com/images?q=tbn:ANd9GcRJowe_-4KMUAEKPVaOKhT438sZRqLiCqmY3CO1ZYmsjw&amp;s=10" TargetMode="External"/><Relationship Id="rId180" Type="http://schemas.openxmlformats.org/officeDocument/2006/relationships/hyperlink" Target="https://encrypted-tbn0.gstatic.com/images?q=tbn:ANd9GcRGxtHHmFllvXH4OuK0KVAHSYNkxR_gHY240ZgEFomufw&amp;s=10" TargetMode="External"/><Relationship Id="rId236" Type="http://schemas.openxmlformats.org/officeDocument/2006/relationships/hyperlink" Target="https://encrypted-tbn0.gstatic.com/images?q=tbn:ANd9GcQ7-PmZcW0p50ALNooGHEVy5Qe77C7hp3bnTvbgspNFvw&amp;s=10" TargetMode="External"/><Relationship Id="rId278" Type="http://schemas.openxmlformats.org/officeDocument/2006/relationships/hyperlink" Target="https://encrypted-tbn0.gstatic.com/images?q=tbn:ANd9GcRQsPvsa_8Xyv87HDTaeJNMTjQWCy7hhgVl9BWE_dslCA&amp;s=10" TargetMode="External"/><Relationship Id="rId401" Type="http://schemas.openxmlformats.org/officeDocument/2006/relationships/hyperlink" Target="https://encrypted-tbn0.gstatic.com/images?q=tbn:ANd9GcSXzoga6BWTGu8wFBcu3MwG-3ScFqYx2Hg-mnqH40o1xg&amp;s=10" TargetMode="External"/><Relationship Id="rId443" Type="http://schemas.openxmlformats.org/officeDocument/2006/relationships/hyperlink" Target="https://encrypted-tbn0.gstatic.com/images?q=tbn:ANd9GcT4jx-R6aUriqfcOr-fmRrc7KpU7F3IeVdpCHwk2yrcxg&amp;s=10" TargetMode="External"/><Relationship Id="rId303" Type="http://schemas.openxmlformats.org/officeDocument/2006/relationships/hyperlink" Target="https://encrypted-tbn0.gstatic.com/images?q=tbn:ANd9GcSXquwC3NX7G-v1Gdv4SlI4lWXBC4429JDSjJ4ap_quzg&amp;s=10" TargetMode="External"/><Relationship Id="rId485" Type="http://schemas.openxmlformats.org/officeDocument/2006/relationships/hyperlink" Target="https://encrypted-tbn0.gstatic.com/images?q=tbn:ANd9GcS55poETLn98DBNDlmYYEnkmTv72MwxVB4nVY5ogEKvBA&amp;s=10" TargetMode="External"/><Relationship Id="rId42" Type="http://schemas.openxmlformats.org/officeDocument/2006/relationships/hyperlink" Target="https://encrypted-tbn0.gstatic.com/images?q=tbn:ANd9GcQYl5F785Qfbd3LjAxNFftHmrstm0Dgtj4hkFO3hDuj5A&amp;s=10" TargetMode="External"/><Relationship Id="rId84" Type="http://schemas.openxmlformats.org/officeDocument/2006/relationships/hyperlink" Target="https://encrypted-tbn0.gstatic.com/images?q=tbn:ANd9GcTQtJAow6EblLqR7pVqppndDb1hFxcwfNqJT89iZ1pHXQ&amp;s=10" TargetMode="External"/><Relationship Id="rId138" Type="http://schemas.openxmlformats.org/officeDocument/2006/relationships/hyperlink" Target="https://encrypted-tbn0.gstatic.com/images?q=tbn:ANd9GcSKPfgAzBm8xfthMKkjII4yHl0sECcEDlC8xHwuswW83Q&amp;s=10" TargetMode="External"/><Relationship Id="rId345" Type="http://schemas.openxmlformats.org/officeDocument/2006/relationships/hyperlink" Target="https://encrypted-tbn0.gstatic.com/images?q=tbn:ANd9GcSXG3l5oqyCyYR5AALEZG2TrLRPfWz5BE3XUIaFlviOHw&amp;s=10" TargetMode="External"/><Relationship Id="rId387" Type="http://schemas.openxmlformats.org/officeDocument/2006/relationships/hyperlink" Target="https://encrypted-tbn0.gstatic.com/images?q=tbn:ANd9GcTxx2H7ojRso9f-vTQT8jdPYrqOC5VP_Jn4hPAZOTFfeQ&amp;s=10" TargetMode="External"/><Relationship Id="rId510" Type="http://schemas.openxmlformats.org/officeDocument/2006/relationships/hyperlink" Target="https://encrypted-tbn0.gstatic.com/images?q=tbn:ANd9GcS_DGn6f6Fgr_YKDIyWcZpUXoaQyVDE0YIbGHzO4Lni-A&amp;s=10" TargetMode="External"/><Relationship Id="rId191" Type="http://schemas.openxmlformats.org/officeDocument/2006/relationships/hyperlink" Target="https://encrypted-tbn0.gstatic.com/images?q=tbn:ANd9GcRytvYpelBNXwpSaFQb5Bugwg-j-L-wnIa2azEFEdv5IQ&amp;s=10" TargetMode="External"/><Relationship Id="rId205" Type="http://schemas.openxmlformats.org/officeDocument/2006/relationships/hyperlink" Target="https://encrypted-tbn0.gstatic.com/images?q=tbn:ANd9GcRDjBuaOp89z4xnJKaqLxeriVL6e1gdGamIQqMfQSaSIw&amp;s=10" TargetMode="External"/><Relationship Id="rId247" Type="http://schemas.openxmlformats.org/officeDocument/2006/relationships/hyperlink" Target="https://encrypted-tbn0.gstatic.com/images?q=tbn:ANd9GcRN38nbnaqSmefDywsOnI2yshe5lmqQVAeVxL8eVLsJCQ&amp;s=10" TargetMode="External"/><Relationship Id="rId412" Type="http://schemas.openxmlformats.org/officeDocument/2006/relationships/hyperlink" Target="https://encrypted-tbn0.gstatic.com/images?q=tbn:ANd9GcR1S-1f6wPrkP-joA1OJCtbtC4n6ssVfgctPzx5fflayg&amp;s=10" TargetMode="External"/><Relationship Id="rId107" Type="http://schemas.openxmlformats.org/officeDocument/2006/relationships/hyperlink" Target="https://encrypted-tbn0.gstatic.com/images?q=tbn:ANd9GcSmMx7k3cPTCR_VvVPLaUMUFEaHYYQAp7Y___wy77E4gA&amp;s=10" TargetMode="External"/><Relationship Id="rId289" Type="http://schemas.openxmlformats.org/officeDocument/2006/relationships/hyperlink" Target="https://encrypted-tbn0.gstatic.com/images?q=tbn:ANd9GcRckkEAIwodYS3-FhqieHMktHOyiJ33OkWnSD3d361ZBQ&amp;s=10" TargetMode="External"/><Relationship Id="rId454" Type="http://schemas.openxmlformats.org/officeDocument/2006/relationships/hyperlink" Target="https://encrypted-tbn0.gstatic.com/images?q=tbn:ANd9GcSNhZAbqZEqeGGAKBQW9gUpu35_cRwuiihALc-3KtX_uA&amp;s=10" TargetMode="External"/><Relationship Id="rId496" Type="http://schemas.openxmlformats.org/officeDocument/2006/relationships/hyperlink" Target="https://encrypted-tbn0.gstatic.com/images?q=tbn:ANd9GcS_DGn6f6Fgr_YKDIyWcZpUXoaQyVDE0YIbGHzO4Lni-A&amp;s=10" TargetMode="External"/><Relationship Id="rId11" Type="http://schemas.openxmlformats.org/officeDocument/2006/relationships/hyperlink" Target="https://encrypted-tbn0.gstatic.com/images?q=tbn:ANd9GcTTuj9faWKFrE4Fpgae4evs5dBRJqkwgGo4yU1hcGaa6w&amp;s=10" TargetMode="External"/><Relationship Id="rId53" Type="http://schemas.openxmlformats.org/officeDocument/2006/relationships/hyperlink" Target="https://encrypted-tbn0.gstatic.com/images?q=tbn:ANd9GcRW05Uv7crdPCKfeY0lh5rsX2JLN-SF2WrkMU4lVjG_MA&amp;s=10" TargetMode="External"/><Relationship Id="rId149" Type="http://schemas.openxmlformats.org/officeDocument/2006/relationships/hyperlink" Target="https://encrypted-tbn0.gstatic.com/images?q=tbn:ANd9GcR_WkdcZr3lF05tPiR3PPbV08bKTidlXSvi8PiHk4G9BQ&amp;s=10" TargetMode="External"/><Relationship Id="rId314" Type="http://schemas.openxmlformats.org/officeDocument/2006/relationships/hyperlink" Target="https://encrypted-tbn0.gstatic.com/images?q=tbn:ANd9GcRzUjkAUNb4XCRuGKlly2wsahci4CUVUq97-fKNfZTl3g&amp;s=10" TargetMode="External"/><Relationship Id="rId356" Type="http://schemas.openxmlformats.org/officeDocument/2006/relationships/hyperlink" Target="https://encrypted-tbn0.gstatic.com/images?q=tbn:ANd9GcR5rqPfKYPqRQoTYoMMoAhEthF46br75lF1FJsVT6UkWw&amp;s=10" TargetMode="External"/><Relationship Id="rId398" Type="http://schemas.openxmlformats.org/officeDocument/2006/relationships/hyperlink" Target="https://encrypted-tbn0.gstatic.com/images?q=tbn:ANd9GcSXzoga6BWTGu8wFBcu3MwG-3ScFqYx2Hg-mnqH40o1xg&amp;s=10" TargetMode="External"/><Relationship Id="rId521" Type="http://schemas.openxmlformats.org/officeDocument/2006/relationships/hyperlink" Target="https://encrypted-tbn0.gstatic.com/images?q=tbn:ANd9GcSI_jjTnMK6idbuUtdAuj5zh10_r2IUWVSU80NfDWRs5w&amp;s=10" TargetMode="External"/><Relationship Id="rId95" Type="http://schemas.openxmlformats.org/officeDocument/2006/relationships/hyperlink" Target="https://encrypted-tbn0.gstatic.com/images?q=tbn:ANd9GcTQArm0OAvHP243RVKdxJo6UTQ3XtKejUNBPYiiPpMd7w&amp;s=10" TargetMode="External"/><Relationship Id="rId160" Type="http://schemas.openxmlformats.org/officeDocument/2006/relationships/hyperlink" Target="https://encrypted-tbn0.gstatic.com/images?q=tbn:ANd9GcRp4tlb4eR64obL1aCM8v9zmI38j-Fkq6tl93AdjA5TbA&amp;s=10" TargetMode="External"/><Relationship Id="rId216" Type="http://schemas.openxmlformats.org/officeDocument/2006/relationships/hyperlink" Target="https://encrypted-tbn0.gstatic.com/images?q=tbn:ANd9GcQcoCmn63oJfT8IJVMz3OlunYkeAc_0l66PHZGJcivtTw&amp;s=10" TargetMode="External"/><Relationship Id="rId423" Type="http://schemas.openxmlformats.org/officeDocument/2006/relationships/hyperlink" Target="https://encrypted-tbn0.gstatic.com/images?q=tbn:ANd9GcQiWygVCau8RPvkJ-wColpUPA_Q90twFPAdgVovwkrFsw&amp;s=10" TargetMode="External"/><Relationship Id="rId258" Type="http://schemas.openxmlformats.org/officeDocument/2006/relationships/hyperlink" Target="https://encrypted-tbn0.gstatic.com/images?q=tbn:ANd9GcSm71FuOzr1Ycsuj1D91BMG7fngiUjR_aQKQB-ceQ_sGQ&amp;s" TargetMode="External"/><Relationship Id="rId465" Type="http://schemas.openxmlformats.org/officeDocument/2006/relationships/hyperlink" Target="https://encrypted-tbn0.gstatic.com/images?q=tbn:ANd9GcT3HVwQtDlzsD26pKTjBqpMXmfyVp20kQLYwwBkTNus-g&amp;s=10" TargetMode="External"/><Relationship Id="rId22" Type="http://schemas.openxmlformats.org/officeDocument/2006/relationships/hyperlink" Target="https://encrypted-tbn0.gstatic.com/images?q=tbn:ANd9GcQ_p_5Z1q3gULUBEAYltjXuQOEnJtzGYiFpuSJylTp5Qg&amp;s=10" TargetMode="External"/><Relationship Id="rId64" Type="http://schemas.openxmlformats.org/officeDocument/2006/relationships/hyperlink" Target="https://encrypted-tbn0.gstatic.com/images?q=tbn:ANd9GcQhuWYAdK92Wax7wa4CHg0DwoYag4AcG0_o0c_6MOTTpQ&amp;s=10" TargetMode="External"/><Relationship Id="rId118" Type="http://schemas.openxmlformats.org/officeDocument/2006/relationships/hyperlink" Target="https://encrypted-tbn0.gstatic.com/images?q=tbn:ANd9GcSNdkoGOCqmPv0DgDYAp_Pqdi4vOvaTLD7OmuwUQdQ33A&amp;s=10" TargetMode="External"/><Relationship Id="rId325" Type="http://schemas.openxmlformats.org/officeDocument/2006/relationships/hyperlink" Target="https://encrypted-tbn0.gstatic.com/images?q=tbn:ANd9GcTx7hP-kPajSzcyTcbK-P9KC-kTVTYvphi6VLQxmNAstA&amp;s=10" TargetMode="External"/><Relationship Id="rId367" Type="http://schemas.openxmlformats.org/officeDocument/2006/relationships/hyperlink" Target="https://encrypted-tbn0.gstatic.com/images?q=tbn:ANd9GcQj92y9kOmETUy3gxAZ9WYrrGknthtinpFO2gaqcpfQhw&amp;s=10" TargetMode="External"/><Relationship Id="rId532" Type="http://schemas.openxmlformats.org/officeDocument/2006/relationships/hyperlink" Target="https://encrypted-tbn0.gstatic.com/images?q=tbn:ANd9GcRytvYpelBNXwpSaFQb5Bugwg-j-L-wnIa2azEFEdv5IQ&amp;s=10" TargetMode="External"/><Relationship Id="rId171" Type="http://schemas.openxmlformats.org/officeDocument/2006/relationships/hyperlink" Target="https://encrypted-tbn0.gstatic.com/images?q=tbn:ANd9GcSZsw_JxU_IX3dDu_PVVXtjIvR10pJfjqc6dRzaBX6rfQ&amp;s=10" TargetMode="External"/><Relationship Id="rId227" Type="http://schemas.openxmlformats.org/officeDocument/2006/relationships/hyperlink" Target="https://encrypted-tbn0.gstatic.com/images?q=tbn:ANd9GcSIwl6G5Ta5L-iko1omkhL7h8mkokXPRVbxobLEIiMvSQ&amp;s=10" TargetMode="External"/><Relationship Id="rId269" Type="http://schemas.openxmlformats.org/officeDocument/2006/relationships/hyperlink" Target="https://encrypted-tbn0.gstatic.com/images?q=tbn:ANd9GcSBQzqIfvmQkXjhAf1_ey889crgKiteXvoSNjlBtSllVw&amp;s=10" TargetMode="External"/><Relationship Id="rId434" Type="http://schemas.openxmlformats.org/officeDocument/2006/relationships/hyperlink" Target="https://encrypted-tbn0.gstatic.com/images?q=tbn:ANd9GcSFag6VunOZoxN3bVLEEKZvicO6ubv6PI8YUWj6z1CoIQ&amp;s=10" TargetMode="External"/><Relationship Id="rId476" Type="http://schemas.openxmlformats.org/officeDocument/2006/relationships/hyperlink" Target="https://encrypted-tbn0.gstatic.com/images?q=tbn:ANd9GcSeGJ6NfAo1IrwHxB9wHZnTzCfnYR3UxDLqQV2cQ0PUlw&amp;s=10" TargetMode="External"/><Relationship Id="rId33" Type="http://schemas.openxmlformats.org/officeDocument/2006/relationships/hyperlink" Target="https://encrypted-tbn0.gstatic.com/images?q=tbn:ANd9GcQOl8xOkqePMFfzSANkoRX3EGnQ09CrtIQkbCDYvKpi6A&amp;s=10" TargetMode="External"/><Relationship Id="rId129" Type="http://schemas.openxmlformats.org/officeDocument/2006/relationships/hyperlink" Target="https://encrypted-tbn0.gstatic.com/images?q=tbn:ANd9GcRDfaW4GNDgjn8kVEfOb71Spmzif_MmjunEuuNTOu_bdg&amp;s=10" TargetMode="External"/><Relationship Id="rId280" Type="http://schemas.openxmlformats.org/officeDocument/2006/relationships/hyperlink" Target="https://encrypted-tbn0.gstatic.com/images?q=tbn:ANd9GcRQsPvsa_8Xyv87HDTaeJNMTjQWCy7hhgVl9BWE_dslCA&amp;s=10" TargetMode="External"/><Relationship Id="rId336" Type="http://schemas.openxmlformats.org/officeDocument/2006/relationships/hyperlink" Target="https://encrypted-tbn0.gstatic.com/images?q=tbn:ANd9GcTm03A6GcPh2UEURRhDfZagEUPlD3LbiZhH0YXLEbK5jg&amp;s=10" TargetMode="External"/><Relationship Id="rId501" Type="http://schemas.openxmlformats.org/officeDocument/2006/relationships/hyperlink" Target="https://encrypted-tbn0.gstatic.com/images?q=tbn:ANd9GcS_DGn6f6Fgr_YKDIyWcZpUXoaQyVDE0YIbGHzO4Lni-A&amp;s=10" TargetMode="External"/><Relationship Id="rId75" Type="http://schemas.openxmlformats.org/officeDocument/2006/relationships/hyperlink" Target="https://encrypted-tbn0.gstatic.com/images?q=tbn:ANd9GcRRvIpCIozdxIWFCsj_UMtngrFefEqEDEkZ6bz2SPsJkQ&amp;s=10" TargetMode="External"/><Relationship Id="rId140" Type="http://schemas.openxmlformats.org/officeDocument/2006/relationships/hyperlink" Target="https://encrypted-tbn0.gstatic.com/images?q=tbn:ANd9GcRCYGlAzwdbT4gBt5xVjp8NoLKD72Lu4aKJn_aXsmFXnw&amp;s=10" TargetMode="External"/><Relationship Id="rId182" Type="http://schemas.openxmlformats.org/officeDocument/2006/relationships/hyperlink" Target="https://encrypted-tbn0.gstatic.com/images?q=tbn:ANd9GcRT4U6Ac57bySQ3R2-ZdRoyTYP4ibxHD-olrb1fsURkCw&amp;s=10" TargetMode="External"/><Relationship Id="rId378" Type="http://schemas.openxmlformats.org/officeDocument/2006/relationships/hyperlink" Target="https://encrypted-tbn0.gstatic.com/images?q=tbn:ANd9GcRee3t_Zmja8ULvC4735F9yqa1EjeeeOXZXr0U2at0cvQ&amp;s" TargetMode="External"/><Relationship Id="rId403" Type="http://schemas.openxmlformats.org/officeDocument/2006/relationships/hyperlink" Target="https://encrypted-tbn0.gstatic.com/images?q=tbn:ANd9GcSXzoga6BWTGu8wFBcu3MwG-3ScFqYx2Hg-mnqH40o1xg&amp;s=10" TargetMode="External"/><Relationship Id="rId6" Type="http://schemas.openxmlformats.org/officeDocument/2006/relationships/hyperlink" Target="https://encrypted-tbn0.gstatic.com/images?q=tbn:ANd9GcQ9W4fY-KNOJvQ5F5OYbxibBL-SETjZl7AIxiZyw-J-MQ&amp;s=10" TargetMode="External"/><Relationship Id="rId238" Type="http://schemas.openxmlformats.org/officeDocument/2006/relationships/hyperlink" Target="https://encrypted-tbn0.gstatic.com/images?q=tbn:ANd9GcQjXhaWUo4zvRWVL7g5JyrfpQUYKQg6mNrjp7xYMxZgIA&amp;s=10" TargetMode="External"/><Relationship Id="rId445" Type="http://schemas.openxmlformats.org/officeDocument/2006/relationships/hyperlink" Target="https://encrypted-tbn0.gstatic.com/images?q=tbn:ANd9GcRQac_qCBGnAQDKOTkvgtiSBy_FmLpumGNOiS0fKfpvGA&amp;s=10" TargetMode="External"/><Relationship Id="rId487" Type="http://schemas.openxmlformats.org/officeDocument/2006/relationships/hyperlink" Target="https://encrypted-tbn0.gstatic.com/images?q=tbn:ANd9GcROiTVHHX0vK7TiVjKlgTd4uLrbXZzPiGa9DydQq8LuKA&amp;s=10" TargetMode="External"/><Relationship Id="rId291" Type="http://schemas.openxmlformats.org/officeDocument/2006/relationships/hyperlink" Target="https://encrypted-tbn0.gstatic.com/images?q=tbn:ANd9GcQEYFJy4xmSw7UM3Aw9YCf4O6O5mPWi7-EvemS_mkrZjQ&amp;s=10" TargetMode="External"/><Relationship Id="rId305" Type="http://schemas.openxmlformats.org/officeDocument/2006/relationships/hyperlink" Target="https://encrypted-tbn0.gstatic.com/images?q=tbn:ANd9GcSXquwC3NX7G-v1Gdv4SlI4lWXBC4429JDSjJ4ap_quzg&amp;s=10" TargetMode="External"/><Relationship Id="rId347" Type="http://schemas.openxmlformats.org/officeDocument/2006/relationships/hyperlink" Target="https://encrypted-tbn0.gstatic.com/images?q=tbn:ANd9GcSXG3l5oqyCyYR5AALEZG2TrLRPfWz5BE3XUIaFlviOHw&amp;s=10" TargetMode="External"/><Relationship Id="rId512" Type="http://schemas.openxmlformats.org/officeDocument/2006/relationships/hyperlink" Target="https://encrypted-tbn0.gstatic.com/images?q=tbn:ANd9GcS_DGn6f6Fgr_YKDIyWcZpUXoaQyVDE0YIbGHzO4Lni-A&amp;s=10" TargetMode="External"/><Relationship Id="rId44" Type="http://schemas.openxmlformats.org/officeDocument/2006/relationships/hyperlink" Target="https://encrypted-tbn0.gstatic.com/images?q=tbn:ANd9GcQYl5F785Qfbd3LjAxNFftHmrstm0Dgtj4hkFO3hDuj5A&amp;s=10" TargetMode="External"/><Relationship Id="rId86" Type="http://schemas.openxmlformats.org/officeDocument/2006/relationships/hyperlink" Target="https://encrypted-tbn0.gstatic.com/images?q=tbn:ANd9GcTQtJAow6EblLqR7pVqppndDb1hFxcwfNqJT89iZ1pHXQ&amp;s=10" TargetMode="External"/><Relationship Id="rId151" Type="http://schemas.openxmlformats.org/officeDocument/2006/relationships/hyperlink" Target="https://encrypted-tbn0.gstatic.com/images?q=tbn:ANd9GcR_WkdcZr3lF05tPiR3PPbV08bKTidlXSvi8PiHk4G9BQ&amp;s=10" TargetMode="External"/><Relationship Id="rId389" Type="http://schemas.openxmlformats.org/officeDocument/2006/relationships/hyperlink" Target="https://encrypted-tbn0.gstatic.com/images?q=tbn:ANd9GcSwFwvX-dqryGJ43Ygvm3eiGLLlHjNMXKD489fOp3wsTQ&amp;s=10" TargetMode="External"/><Relationship Id="rId193" Type="http://schemas.openxmlformats.org/officeDocument/2006/relationships/hyperlink" Target="https://encrypted-tbn0.gstatic.com/images?q=tbn:ANd9GcRytvYpelBNXwpSaFQb5Bugwg-j-L-wnIa2azEFEdv5IQ&amp;s=10" TargetMode="External"/><Relationship Id="rId207" Type="http://schemas.openxmlformats.org/officeDocument/2006/relationships/hyperlink" Target="https://encrypted-tbn0.gstatic.com/images?q=tbn:ANd9GcTVY_koXYbloOaniwqY-AGcVyeN3QjySiqwwaOg5UFTjw&amp;s=10" TargetMode="External"/><Relationship Id="rId249" Type="http://schemas.openxmlformats.org/officeDocument/2006/relationships/hyperlink" Target="https://encrypted-tbn0.gstatic.com/images?q=tbn:ANd9GcRN38nbnaqSmefDywsOnI2yshe5lmqQVAeVxL8eVLsJCQ&amp;s=10" TargetMode="External"/><Relationship Id="rId414" Type="http://schemas.openxmlformats.org/officeDocument/2006/relationships/hyperlink" Target="https://encrypted-tbn0.gstatic.com/images?q=tbn:ANd9GcR1S-1f6wPrkP-joA1OJCtbtC4n6ssVfgctPzx5fflayg&amp;s=10" TargetMode="External"/><Relationship Id="rId456" Type="http://schemas.openxmlformats.org/officeDocument/2006/relationships/hyperlink" Target="https://encrypted-tbn0.gstatic.com/images?q=tbn:ANd9GcSqN0kYOJYFmyhpgTX0GZuuFbU5J9cnsChuOOEgsnp3aQ&amp;s=10" TargetMode="External"/><Relationship Id="rId498" Type="http://schemas.openxmlformats.org/officeDocument/2006/relationships/hyperlink" Target="https://encrypted-tbn0.gstatic.com/images?q=tbn:ANd9GcS_DGn6f6Fgr_YKDIyWcZpUXoaQyVDE0YIbGHzO4Lni-A&amp;s=10" TargetMode="External"/><Relationship Id="rId13" Type="http://schemas.openxmlformats.org/officeDocument/2006/relationships/hyperlink" Target="https://encrypted-tbn0.gstatic.com/images?q=tbn:ANd9GcTTuj9faWKFrE4Fpgae4evs5dBRJqkwgGo4yU1hcGaa6w&amp;s=10" TargetMode="External"/><Relationship Id="rId109" Type="http://schemas.openxmlformats.org/officeDocument/2006/relationships/hyperlink" Target="https://encrypted-tbn0.gstatic.com/images?q=tbn:ANd9GcTb0FVhLcic_gesAywJF0AP8hXTle5UuiqxUSiPxOiSLg&amp;s=10" TargetMode="External"/><Relationship Id="rId260" Type="http://schemas.openxmlformats.org/officeDocument/2006/relationships/hyperlink" Target="https://encrypted-tbn0.gstatic.com/images?q=tbn:ANd9GcQqYGtXXat6WYii61ImVCG9Z2ZFOYFf9Xs-9vUP8ID8OA&amp;s=10" TargetMode="External"/><Relationship Id="rId316" Type="http://schemas.openxmlformats.org/officeDocument/2006/relationships/hyperlink" Target="https://encrypted-tbn0.gstatic.com/images?q=tbn:ANd9GcSs0sJOfuaVH97H7ed1JV5ZD5TXhGGlpO6am714IgrX0Q&amp;s=10" TargetMode="External"/><Relationship Id="rId523" Type="http://schemas.openxmlformats.org/officeDocument/2006/relationships/hyperlink" Target="https://encrypted-tbn0.gstatic.com/images?q=tbn:ANd9GcRafPvMm-JwS-6GF0hNfYyxy3sfwwpxWnfDZwKGZYKjcQ&amp;s" TargetMode="External"/><Relationship Id="rId55" Type="http://schemas.openxmlformats.org/officeDocument/2006/relationships/hyperlink" Target="https://encrypted-tbn0.gstatic.com/images?q=tbn:ANd9GcTWJUMKrXIM99mzsHxrC8waA6wpFA7pTeXiANUEWqJWTQ&amp;s=10" TargetMode="External"/><Relationship Id="rId97" Type="http://schemas.openxmlformats.org/officeDocument/2006/relationships/hyperlink" Target="https://encrypted-tbn0.gstatic.com/images?q=tbn:ANd9GcTQArm0OAvHP243RVKdxJo6UTQ3XtKejUNBPYiiPpMd7w&amp;s=10" TargetMode="External"/><Relationship Id="rId120" Type="http://schemas.openxmlformats.org/officeDocument/2006/relationships/hyperlink" Target="https://encrypted-tbn0.gstatic.com/images?q=tbn:ANd9GcRY1pbHDDuGnk340J0wFFF8NQ13p7E3LyIprVY3V3NPjw&amp;s=10" TargetMode="External"/><Relationship Id="rId358" Type="http://schemas.openxmlformats.org/officeDocument/2006/relationships/hyperlink" Target="https://encrypted-tbn0.gstatic.com/images?q=tbn:ANd9GcQKVCHjLB86uO4bFw3NecJOD2Y51ikNqqFZenXgRQOUow&amp;s=10" TargetMode="External"/><Relationship Id="rId162" Type="http://schemas.openxmlformats.org/officeDocument/2006/relationships/hyperlink" Target="https://encrypted-tbn0.gstatic.com/images?q=tbn:ANd9GcRM6iVCvyNz8ywqxU9WuqEyTfOUS5NCnVi91cEUclJwug&amp;s=10" TargetMode="External"/><Relationship Id="rId218" Type="http://schemas.openxmlformats.org/officeDocument/2006/relationships/hyperlink" Target="https://encrypted-tbn0.gstatic.com/images?q=tbn:ANd9GcQcoCmn63oJfT8IJVMz3OlunYkeAc_0l66PHZGJcivtTw&amp;s=10" TargetMode="External"/><Relationship Id="rId425" Type="http://schemas.openxmlformats.org/officeDocument/2006/relationships/hyperlink" Target="https://encrypted-tbn0.gstatic.com/images?q=tbn:ANd9GcTxa7NKV-WYbTmn9SgOftFXI8eO0Qn-ss4Qz6WyzSzNOA&amp;s=10" TargetMode="External"/><Relationship Id="rId467" Type="http://schemas.openxmlformats.org/officeDocument/2006/relationships/hyperlink" Target="https://encrypted-tbn0.gstatic.com/images?q=tbn:ANd9GcTNImXmDoE3kplQZQYAv3Au3jiPiJEL-1s7qpklXRzXgg&amp;s=10" TargetMode="External"/><Relationship Id="rId271" Type="http://schemas.openxmlformats.org/officeDocument/2006/relationships/hyperlink" Target="https://encrypted-tbn0.gstatic.com/images?q=tbn:ANd9GcQ2H1s_JgPFS_---5Pvu8KIzg_EiKkevvpQWqkgSplwrw&amp;s=10" TargetMode="External"/><Relationship Id="rId24" Type="http://schemas.openxmlformats.org/officeDocument/2006/relationships/hyperlink" Target="https://encrypted-tbn0.gstatic.com/images?q=tbn:ANd9GcTK0Pk2IUnkl38BobHEE5YCD7wuaNtz3y7-92Bf328rwg&amp;s=10" TargetMode="External"/><Relationship Id="rId66" Type="http://schemas.openxmlformats.org/officeDocument/2006/relationships/hyperlink" Target="https://encrypted-tbn0.gstatic.com/images?q=tbn:ANd9GcQhuWYAdK92Wax7wa4CHg0DwoYag4AcG0_o0c_6MOTTpQ&amp;s=10" TargetMode="External"/><Relationship Id="rId131" Type="http://schemas.openxmlformats.org/officeDocument/2006/relationships/hyperlink" Target="https://encrypted-tbn0.gstatic.com/images?q=tbn:ANd9GcSKPfgAzBm8xfthMKkjII4yHl0sECcEDlC8xHwuswW83Q&amp;s=10" TargetMode="External"/><Relationship Id="rId327" Type="http://schemas.openxmlformats.org/officeDocument/2006/relationships/hyperlink" Target="https://encrypted-tbn0.gstatic.com/images?q=tbn:ANd9GcTXll0mLpOjWi5FwHn0EG6btgaosaI2v6qQhcA4kHc4FQ&amp;s=10" TargetMode="External"/><Relationship Id="rId369" Type="http://schemas.openxmlformats.org/officeDocument/2006/relationships/hyperlink" Target="https://encrypted-tbn0.gstatic.com/images?q=tbn:ANd9GcR28veVk3lpVnsTSobV5_bjuqiwtVcxbtC72nbhKIPfqA&amp;s=10" TargetMode="External"/><Relationship Id="rId534" Type="http://schemas.openxmlformats.org/officeDocument/2006/relationships/hyperlink" Target="https://encrypted-tbn0.gstatic.com/images?q=tbn:ANd9GcRytvYpelBNXwpSaFQb5Bugwg-j-L-wnIa2azEFEdv5IQ&amp;s=10" TargetMode="External"/><Relationship Id="rId173" Type="http://schemas.openxmlformats.org/officeDocument/2006/relationships/hyperlink" Target="https://encrypted-tbn0.gstatic.com/images?q=tbn:ANd9GcSvImZbNHGfTM-x_1SsRVq0A2SQfMzXgWzO5zKJkZbkkw&amp;s=10" TargetMode="External"/><Relationship Id="rId229" Type="http://schemas.openxmlformats.org/officeDocument/2006/relationships/hyperlink" Target="https://encrypted-tbn0.gstatic.com/images?q=tbn:ANd9GcSIwl6G5Ta5L-iko1omkhL7h8mkokXPRVbxobLEIiMvSQ&amp;s=10" TargetMode="External"/><Relationship Id="rId380" Type="http://schemas.openxmlformats.org/officeDocument/2006/relationships/hyperlink" Target="https://encrypted-tbn0.gstatic.com/images?q=tbn:ANd9GcRee3t_Zmja8ULvC4735F9yqa1EjeeeOXZXr0U2at0cvQ&amp;s" TargetMode="External"/><Relationship Id="rId436" Type="http://schemas.openxmlformats.org/officeDocument/2006/relationships/hyperlink" Target="https://encrypted-tbn0.gstatic.com/images?q=tbn:ANd9GcSFag6VunOZoxN3bVLEEKZvicO6ubv6PI8YUWj6z1CoIQ&amp;s=10" TargetMode="External"/><Relationship Id="rId240" Type="http://schemas.openxmlformats.org/officeDocument/2006/relationships/hyperlink" Target="https://encrypted-tbn0.gstatic.com/images?q=tbn:ANd9GcT6H_D7gPSnUa-pmawqSeKGvYbvnreJMRQl2fI4DczFFg&amp;s=10" TargetMode="External"/><Relationship Id="rId478" Type="http://schemas.openxmlformats.org/officeDocument/2006/relationships/hyperlink" Target="https://encrypted-tbn0.gstatic.com/images?q=tbn:ANd9GcRtD3obuT8VSwWhD7wEu2PRI3sR8Os3zjSVyazNFZwLaQ&amp;s=10" TargetMode="External"/><Relationship Id="rId35" Type="http://schemas.openxmlformats.org/officeDocument/2006/relationships/hyperlink" Target="https://encrypted-tbn0.gstatic.com/images?q=tbn:ANd9GcQy9ZHlsYSUp2NV6GaeHq_OlOUqSJuZlWR-cJXg98C5qA&amp;s=10" TargetMode="External"/><Relationship Id="rId77" Type="http://schemas.openxmlformats.org/officeDocument/2006/relationships/hyperlink" Target="https://encrypted-tbn0.gstatic.com/images?q=tbn:ANd9GcS1cketaOneBziSau2PIrVjKV_D_je_6L4lOpCo0PpXAw&amp;s=10" TargetMode="External"/><Relationship Id="rId100" Type="http://schemas.openxmlformats.org/officeDocument/2006/relationships/hyperlink" Target="https://encrypted-tbn0.gstatic.com/images?q=tbn:ANd9GcTm6x0mHTFdho0_sf1cy0Igid4I_dp028qAh1xYiUnRaw&amp;s=10" TargetMode="External"/><Relationship Id="rId282" Type="http://schemas.openxmlformats.org/officeDocument/2006/relationships/hyperlink" Target="https://encrypted-tbn0.gstatic.com/images?q=tbn:ANd9GcTlXW5qnHPR1zzHfbCwoBXCvR5YvR6CmtB7e9yRVTKWoA&amp;s=10" TargetMode="External"/><Relationship Id="rId338" Type="http://schemas.openxmlformats.org/officeDocument/2006/relationships/hyperlink" Target="https://encrypted-tbn0.gstatic.com/images?q=tbn:ANd9GcTm03A6GcPh2UEURRhDfZagEUPlD3LbiZhH0YXLEbK5jg&amp;s=10" TargetMode="External"/><Relationship Id="rId503" Type="http://schemas.openxmlformats.org/officeDocument/2006/relationships/hyperlink" Target="https://encrypted-tbn0.gstatic.com/images?q=tbn:ANd9GcS_DGn6f6Fgr_YKDIyWcZpUXoaQyVDE0YIbGHzO4Lni-A&amp;s=10" TargetMode="External"/><Relationship Id="rId8" Type="http://schemas.openxmlformats.org/officeDocument/2006/relationships/hyperlink" Target="https://encrypted-tbn0.gstatic.com/images?q=tbn:ANd9GcQ9W4fY-KNOJvQ5F5OYbxibBL-SETjZl7AIxiZyw-J-MQ&amp;s=10" TargetMode="External"/><Relationship Id="rId142" Type="http://schemas.openxmlformats.org/officeDocument/2006/relationships/hyperlink" Target="https://encrypted-tbn0.gstatic.com/images?q=tbn:ANd9GcRCYGlAzwdbT4gBt5xVjp8NoLKD72Lu4aKJn_aXsmFXnw&amp;s=10" TargetMode="External"/><Relationship Id="rId184" Type="http://schemas.openxmlformats.org/officeDocument/2006/relationships/hyperlink" Target="https://encrypted-tbn0.gstatic.com/images?q=tbn:ANd9GcSCzb1uGkiiCToF-9S78KWhCJAGwY3nwTJhPmTqWpASSg&amp;s=10" TargetMode="External"/><Relationship Id="rId391" Type="http://schemas.openxmlformats.org/officeDocument/2006/relationships/hyperlink" Target="https://encrypted-tbn0.gstatic.com/images?q=tbn:ANd9GcSwFwvX-dqryGJ43Ygvm3eiGLLlHjNMXKD489fOp3wsTQ&amp;s=10" TargetMode="External"/><Relationship Id="rId405" Type="http://schemas.openxmlformats.org/officeDocument/2006/relationships/hyperlink" Target="https://encrypted-tbn0.gstatic.com/images?q=tbn:ANd9GcSXzoga6BWTGu8wFBcu3MwG-3ScFqYx2Hg-mnqH40o1xg&amp;s=10" TargetMode="External"/><Relationship Id="rId447" Type="http://schemas.openxmlformats.org/officeDocument/2006/relationships/hyperlink" Target="https://encrypted-tbn0.gstatic.com/images?q=tbn:ANd9GcTzIXadmutBRgXdZNfPVpkViIXkWccJZWIuJ9fV7QtKLg&amp;s=10" TargetMode="External"/><Relationship Id="rId251" Type="http://schemas.openxmlformats.org/officeDocument/2006/relationships/hyperlink" Target="https://encrypted-tbn0.gstatic.com/images?q=tbn:ANd9GcRN38nbnaqSmefDywsOnI2yshe5lmqQVAeVxL8eVLsJCQ&amp;s=10" TargetMode="External"/><Relationship Id="rId489" Type="http://schemas.openxmlformats.org/officeDocument/2006/relationships/hyperlink" Target="https://encrypted-tbn0.gstatic.com/images?q=tbn:ANd9GcTtRZYDtTRlVJFD76YuBYo31ZVRtU9MRU0gJCp3xs7Etw&amp;s=10" TargetMode="External"/><Relationship Id="rId46" Type="http://schemas.openxmlformats.org/officeDocument/2006/relationships/hyperlink" Target="https://encrypted-tbn0.gstatic.com/images?q=tbn:ANd9GcQYl5F785Qfbd3LjAxNFftHmrstm0Dgtj4hkFO3hDuj5A&amp;s=10" TargetMode="External"/><Relationship Id="rId293" Type="http://schemas.openxmlformats.org/officeDocument/2006/relationships/hyperlink" Target="https://encrypted-tbn0.gstatic.com/images?q=tbn:ANd9GcQaXUNyt8g3rvqIbFIUObf4p8q8reR9p-BN-A4_1tO1HQ&amp;s=10" TargetMode="External"/><Relationship Id="rId307" Type="http://schemas.openxmlformats.org/officeDocument/2006/relationships/hyperlink" Target="https://encrypted-tbn0.gstatic.com/images?q=tbn:ANd9GcQdYjuiTeuggmc5r4ngcUpMicrzC3tib6uLOko_BFBKVw&amp;s" TargetMode="External"/><Relationship Id="rId349" Type="http://schemas.openxmlformats.org/officeDocument/2006/relationships/hyperlink" Target="https://encrypted-tbn0.gstatic.com/images?q=tbn:ANd9GcSeWmmLRhYpT-VLxrJdq6G3o-wSa_jbFJFnxal00nNtfA&amp;s=10" TargetMode="External"/><Relationship Id="rId514" Type="http://schemas.openxmlformats.org/officeDocument/2006/relationships/hyperlink" Target="https://encrypted-tbn0.gstatic.com/images?q=tbn:ANd9GcQcQ5sYOPOWmcrP_RurccdbJ0APIUt7YWlLlNSX3xlzYg&amp;s=10" TargetMode="External"/><Relationship Id="rId88" Type="http://schemas.openxmlformats.org/officeDocument/2006/relationships/hyperlink" Target="https://encrypted-tbn0.gstatic.com/images?q=tbn:ANd9GcTQtJAow6EblLqR7pVqppndDb1hFxcwfNqJT89iZ1pHXQ&amp;s=10" TargetMode="External"/><Relationship Id="rId111" Type="http://schemas.openxmlformats.org/officeDocument/2006/relationships/hyperlink" Target="https://encrypted-tbn0.gstatic.com/images?q=tbn:ANd9GcRhjXucZDe8gmLRC9RVOq7n2EtUHrz7SdtH1A4xBxqSLA&amp;s=10" TargetMode="External"/><Relationship Id="rId153" Type="http://schemas.openxmlformats.org/officeDocument/2006/relationships/hyperlink" Target="https://encrypted-tbn0.gstatic.com/images?q=tbn:ANd9GcT6ri39ELYTOmo5LN5ioJsfe2SDfdv8XzHqytzgZZE8WA&amp;s=10" TargetMode="External"/><Relationship Id="rId195" Type="http://schemas.openxmlformats.org/officeDocument/2006/relationships/hyperlink" Target="https://encrypted-tbn0.gstatic.com/images?q=tbn:ANd9GcRytvYpelBNXwpSaFQb5Bugwg-j-L-wnIa2azEFEdv5IQ&amp;s=10" TargetMode="External"/><Relationship Id="rId209" Type="http://schemas.openxmlformats.org/officeDocument/2006/relationships/hyperlink" Target="https://encrypted-tbn0.gstatic.com/images?q=tbn:ANd9GcTVY_koXYbloOaniwqY-AGcVyeN3QjySiqwwaOg5UFTjw&amp;s=10" TargetMode="External"/><Relationship Id="rId360" Type="http://schemas.openxmlformats.org/officeDocument/2006/relationships/hyperlink" Target="https://encrypted-tbn0.gstatic.com/images?q=tbn:ANd9GcQNA0ZgboireecMvGJSU_KLLkpQkYWaV9SvUSrEPi1TXg&amp;s=10" TargetMode="External"/><Relationship Id="rId416" Type="http://schemas.openxmlformats.org/officeDocument/2006/relationships/hyperlink" Target="https://encrypted-tbn0.gstatic.com/images?q=tbn:ANd9GcQDgXBYYmklvivF85Qwk9qJZSYyNTVaxkXp5Izt4vdX2w&amp;s=10" TargetMode="External"/><Relationship Id="rId220" Type="http://schemas.openxmlformats.org/officeDocument/2006/relationships/hyperlink" Target="https://encrypted-tbn0.gstatic.com/images?q=tbn:ANd9GcTC2OUJYDboA3l2QR1OqwrheJ7f2MdYlSdLihd9DqGHFA&amp;s=10" TargetMode="External"/><Relationship Id="rId458" Type="http://schemas.openxmlformats.org/officeDocument/2006/relationships/hyperlink" Target="https://encrypted-tbn0.gstatic.com/images?q=tbn:ANd9GcQLdPPy9Z0ekJBf6PDXw2puBRUjtCm0Yu6JzsnOt7gzzw&amp;s=10" TargetMode="External"/><Relationship Id="rId15" Type="http://schemas.openxmlformats.org/officeDocument/2006/relationships/hyperlink" Target="https://encrypted-tbn0.gstatic.com/images?q=tbn:ANd9GcSBThBrEeWLdjW4vH2NDmBXtW2SKrtb0FmeHpcXYD5qgA&amp;s" TargetMode="External"/><Relationship Id="rId57" Type="http://schemas.openxmlformats.org/officeDocument/2006/relationships/hyperlink" Target="https://encrypted-tbn0.gstatic.com/images?q=tbn:ANd9GcTWJUMKrXIM99mzsHxrC8waA6wpFA7pTeXiANUEWqJWTQ&amp;s=10" TargetMode="External"/><Relationship Id="rId262" Type="http://schemas.openxmlformats.org/officeDocument/2006/relationships/hyperlink" Target="https://encrypted-tbn0.gstatic.com/images?q=tbn:ANd9GcQCTACjBEDBarcUAkvVDW6-rXYX4IReFr0KqZfBvZtNYg&amp;s=10" TargetMode="External"/><Relationship Id="rId318" Type="http://schemas.openxmlformats.org/officeDocument/2006/relationships/hyperlink" Target="https://encrypted-tbn0.gstatic.com/images?q=tbn:ANd9GcQaod_e4DIPx5iDf0ebMOu3P_HxCWfXuybm07FgKA5iCQ&amp;s=10" TargetMode="External"/><Relationship Id="rId525" Type="http://schemas.openxmlformats.org/officeDocument/2006/relationships/hyperlink" Target="https://encrypted-tbn0.gstatic.com/images?q=tbn:ANd9GcSslZNBmf4jKRQQ07ZxE9pqkcbDSmqiDC4eLcJ-7xUPRg&amp;s=10" TargetMode="External"/><Relationship Id="rId99" Type="http://schemas.openxmlformats.org/officeDocument/2006/relationships/hyperlink" Target="https://encrypted-tbn0.gstatic.com/images?q=tbn:ANd9GcTm6x0mHTFdho0_sf1cy0Igid4I_dp028qAh1xYiUnRaw&amp;s=10" TargetMode="External"/><Relationship Id="rId122" Type="http://schemas.openxmlformats.org/officeDocument/2006/relationships/hyperlink" Target="https://encrypted-tbn0.gstatic.com/images?q=tbn:ANd9GcTUOPEL4SE7OpSWoj3sc0LolTLe4UEUtYHS99GU1tYKWw&amp;s=10" TargetMode="External"/><Relationship Id="rId164" Type="http://schemas.openxmlformats.org/officeDocument/2006/relationships/hyperlink" Target="https://encrypted-tbn0.gstatic.com/images?q=tbn:ANd9GcSA1-2d2D0idd1HdFU1RJPez6i6kvMltCRXIUqsBgOBLw&amp;s=10" TargetMode="External"/><Relationship Id="rId371" Type="http://schemas.openxmlformats.org/officeDocument/2006/relationships/hyperlink" Target="https://encrypted-tbn0.gstatic.com/images?q=tbn:ANd9GcSSBP8MiZQa73c4-qtpkHpeaHWhjBIbk1_hhelwgyU8oQ&amp;s=10" TargetMode="External"/><Relationship Id="rId427" Type="http://schemas.openxmlformats.org/officeDocument/2006/relationships/hyperlink" Target="https://encrypted-tbn0.gstatic.com/images?q=tbn:ANd9GcSu944rmpAav1eZ-GwUDBx7FMslyMKLlVWwrmxINv_1-g&amp;s=10" TargetMode="External"/><Relationship Id="rId469" Type="http://schemas.openxmlformats.org/officeDocument/2006/relationships/hyperlink" Target="https://encrypted-tbn0.gstatic.com/images?q=tbn:ANd9GcTNImXmDoE3kplQZQYAv3Au3jiPiJEL-1s7qpklXRzXgg&amp;s=10" TargetMode="External"/><Relationship Id="rId26" Type="http://schemas.openxmlformats.org/officeDocument/2006/relationships/hyperlink" Target="https://encrypted-tbn0.gstatic.com/images?q=tbn:ANd9GcTqbn64dlQi6qH2lV8EctFviri35m2G7yJMudduBJo-bA&amp;s=10" TargetMode="External"/><Relationship Id="rId231" Type="http://schemas.openxmlformats.org/officeDocument/2006/relationships/hyperlink" Target="https://encrypted-tbn0.gstatic.com/images?q=tbn:ANd9GcTyIccdtmm0EoO8ZWeFVBP9y7p_94sGxxj3H8Ctsr_Efg&amp;s=10" TargetMode="External"/><Relationship Id="rId273" Type="http://schemas.openxmlformats.org/officeDocument/2006/relationships/hyperlink" Target="https://encrypted-tbn0.gstatic.com/images?q=tbn:ANd9GcQ2H1s_JgPFS_---5Pvu8KIzg_EiKkevvpQWqkgSplwrw&amp;s=10" TargetMode="External"/><Relationship Id="rId329" Type="http://schemas.openxmlformats.org/officeDocument/2006/relationships/hyperlink" Target="https://encrypted-tbn0.gstatic.com/images?q=tbn:ANd9GcTXll0mLpOjWi5FwHn0EG6btgaosaI2v6qQhcA4kHc4FQ&amp;s=10" TargetMode="External"/><Relationship Id="rId480" Type="http://schemas.openxmlformats.org/officeDocument/2006/relationships/hyperlink" Target="https://encrypted-tbn0.gstatic.com/images?q=tbn:ANd9GcT-ZmG3kgjCb2ne8DkS_AiWkkIoOxeSp2trzETtebf_QQ&amp;s=10" TargetMode="External"/><Relationship Id="rId68" Type="http://schemas.openxmlformats.org/officeDocument/2006/relationships/hyperlink" Target="https://encrypted-tbn0.gstatic.com/images?q=tbn:ANd9GcRqaXihHzthjMDgNkHAFfw_qyIk3_BrJa-GzyVro8z_jw&amp;s=10" TargetMode="External"/><Relationship Id="rId133" Type="http://schemas.openxmlformats.org/officeDocument/2006/relationships/hyperlink" Target="https://encrypted-tbn0.gstatic.com/images?q=tbn:ANd9GcSKPfgAzBm8xfthMKkjII4yHl0sECcEDlC8xHwuswW83Q&amp;s=10" TargetMode="External"/><Relationship Id="rId175" Type="http://schemas.openxmlformats.org/officeDocument/2006/relationships/hyperlink" Target="https://encrypted-tbn0.gstatic.com/images?q=tbn:ANd9GcQF88nYbOC23tYkOSZZskS2yWuNwwa_Bqx98xEQcxksHA&amp;s=10" TargetMode="External"/><Relationship Id="rId340" Type="http://schemas.openxmlformats.org/officeDocument/2006/relationships/hyperlink" Target="https://encrypted-tbn0.gstatic.com/images?q=tbn:ANd9GcRcWhcCw4s1dvxILEcMANuapWTI-8h1svK94aBEs2NODw&amp;s=10" TargetMode="External"/><Relationship Id="rId200" Type="http://schemas.openxmlformats.org/officeDocument/2006/relationships/hyperlink" Target="https://encrypted-tbn0.gstatic.com/images?q=tbn:ANd9GcRSixPcAZ-Bi2Bi5Jm1ct75IvxRQDjCePEbk0bIUuso1A&amp;s=10" TargetMode="External"/><Relationship Id="rId382" Type="http://schemas.openxmlformats.org/officeDocument/2006/relationships/hyperlink" Target="https://encrypted-tbn0.gstatic.com/images?q=tbn:ANd9GcRee3t_Zmja8ULvC4735F9yqa1EjeeeOXZXr0U2at0cvQ&amp;s" TargetMode="External"/><Relationship Id="rId438" Type="http://schemas.openxmlformats.org/officeDocument/2006/relationships/hyperlink" Target="https://encrypted-tbn0.gstatic.com/images?q=tbn:ANd9GcQ_YpJupWh1p90Ps8vuUJgUPIy5oR2tRzkQhuq7Ff3VdQ&amp;s=10" TargetMode="External"/><Relationship Id="rId242" Type="http://schemas.openxmlformats.org/officeDocument/2006/relationships/hyperlink" Target="https://encrypted-tbn0.gstatic.com/images?q=tbn:ANd9GcQlVvBHvdbzLI3fW5gGMYKGaIJfUmvzYy-7Zgys5Y4LRg&amp;s=10" TargetMode="External"/><Relationship Id="rId284" Type="http://schemas.openxmlformats.org/officeDocument/2006/relationships/hyperlink" Target="https://encrypted-tbn0.gstatic.com/images?q=tbn:ANd9GcQ3DpH_KFPg3K53xYCChENx37-NWL4Wq8tUOafwAV0MOQ&amp;s=10" TargetMode="External"/><Relationship Id="rId491" Type="http://schemas.openxmlformats.org/officeDocument/2006/relationships/hyperlink" Target="https://encrypted-tbn0.gstatic.com/images?q=tbn:ANd9GcSBaPmSjrQbulCWPEohgPPf9sbL5kYeBT_C59vrOEqlZQ&amp;s=10" TargetMode="External"/><Relationship Id="rId505" Type="http://schemas.openxmlformats.org/officeDocument/2006/relationships/hyperlink" Target="https://encrypted-tbn0.gstatic.com/images?q=tbn:ANd9GcS_DGn6f6Fgr_YKDIyWcZpUXoaQyVDE0YIbGHzO4Lni-A&amp;s=10" TargetMode="External"/><Relationship Id="rId37" Type="http://schemas.openxmlformats.org/officeDocument/2006/relationships/hyperlink" Target="https://encrypted-tbn0.gstatic.com/images?q=tbn:ANd9GcQy9ZHlsYSUp2NV6GaeHq_OlOUqSJuZlWR-cJXg98C5qA&amp;s=10" TargetMode="External"/><Relationship Id="rId79" Type="http://schemas.openxmlformats.org/officeDocument/2006/relationships/hyperlink" Target="https://encrypted-tbn0.gstatic.com/images?q=tbn:ANd9GcTbjy0ByeT4gFmK-BUcdpS9DGtVxgHSOQj6_y94tFvI1A&amp;s=10" TargetMode="External"/><Relationship Id="rId102" Type="http://schemas.openxmlformats.org/officeDocument/2006/relationships/hyperlink" Target="https://encrypted-tbn0.gstatic.com/images?q=tbn:ANd9GcTm6x0mHTFdho0_sf1cy0Igid4I_dp028qAh1xYiUnRaw&amp;s=10" TargetMode="External"/><Relationship Id="rId144" Type="http://schemas.openxmlformats.org/officeDocument/2006/relationships/hyperlink" Target="https://encrypted-tbn0.gstatic.com/images?q=tbn:ANd9GcRCYGlAzwdbT4gBt5xVjp8NoLKD72Lu4aKJn_aXsmFXnw&amp;s=10" TargetMode="External"/><Relationship Id="rId90" Type="http://schemas.openxmlformats.org/officeDocument/2006/relationships/hyperlink" Target="https://encrypted-tbn0.gstatic.com/images?q=tbn:ANd9GcTQtJAow6EblLqR7pVqppndDb1hFxcwfNqJT89iZ1pHXQ&amp;s=10" TargetMode="External"/><Relationship Id="rId186" Type="http://schemas.openxmlformats.org/officeDocument/2006/relationships/hyperlink" Target="https://encrypted-tbn0.gstatic.com/images?q=tbn:ANd9GcSCzb1uGkiiCToF-9S78KWhCJAGwY3nwTJhPmTqWpASSg&amp;s=10" TargetMode="External"/><Relationship Id="rId351" Type="http://schemas.openxmlformats.org/officeDocument/2006/relationships/hyperlink" Target="https://encrypted-tbn0.gstatic.com/images?q=tbn:ANd9GcT234Wh2PP-pMgpMGXVAXFUjNEhJzdLU0zUpeeVixQwVQ&amp;s=10" TargetMode="External"/><Relationship Id="rId393" Type="http://schemas.openxmlformats.org/officeDocument/2006/relationships/hyperlink" Target="https://encrypted-tbn0.gstatic.com/images?q=tbn:ANd9GcQNLOzHLyxkgF4PteJB5njFZyAFoNDpzmEYYIvx3Btdeg&amp;s=10" TargetMode="External"/><Relationship Id="rId407" Type="http://schemas.openxmlformats.org/officeDocument/2006/relationships/hyperlink" Target="https://encrypted-tbn0.gstatic.com/images?q=tbn:ANd9GcSXzoga6BWTGu8wFBcu3MwG-3ScFqYx2Hg-mnqH40o1xg&amp;s=10" TargetMode="External"/><Relationship Id="rId449" Type="http://schemas.openxmlformats.org/officeDocument/2006/relationships/hyperlink" Target="https://encrypted-tbn0.gstatic.com/images?q=tbn:ANd9GcSLKAP9DdhMDZvhwUUgXFGOCAzdr-VgGFy1E5Zjm4rIkg&amp;s=10" TargetMode="External"/><Relationship Id="rId211" Type="http://schemas.openxmlformats.org/officeDocument/2006/relationships/hyperlink" Target="https://encrypted-tbn0.gstatic.com/images?q=tbn:ANd9GcTVY_koXYbloOaniwqY-AGcVyeN3QjySiqwwaOg5UFTjw&amp;s=10" TargetMode="External"/><Relationship Id="rId253" Type="http://schemas.openxmlformats.org/officeDocument/2006/relationships/hyperlink" Target="https://encrypted-tbn0.gstatic.com/images?q=tbn:ANd9GcRN38nbnaqSmefDywsOnI2yshe5lmqQVAeVxL8eVLsJCQ&amp;s=10" TargetMode="External"/><Relationship Id="rId295" Type="http://schemas.openxmlformats.org/officeDocument/2006/relationships/hyperlink" Target="https://encrypted-tbn0.gstatic.com/images?q=tbn:ANd9GcQaXUNyt8g3rvqIbFIUObf4p8q8reR9p-BN-A4_1tO1HQ&amp;s=10" TargetMode="External"/><Relationship Id="rId309" Type="http://schemas.openxmlformats.org/officeDocument/2006/relationships/hyperlink" Target="https://encrypted-tbn0.gstatic.com/images?q=tbn:ANd9GcSAHqtjzZiwZ25qYOrwwkeWJkH5XX77TOSuRfiI6d0-xg&amp;s" TargetMode="External"/><Relationship Id="rId460" Type="http://schemas.openxmlformats.org/officeDocument/2006/relationships/hyperlink" Target="https://encrypted-tbn0.gstatic.com/images?q=tbn:ANd9GcSimnRqr2XjIaQSGFcG1OvsLfmpiyteTVyqW60RGjkWOQ&amp;s=10" TargetMode="External"/><Relationship Id="rId516" Type="http://schemas.openxmlformats.org/officeDocument/2006/relationships/hyperlink" Target="https://encrypted-tbn0.gstatic.com/images?q=tbn:ANd9GcQ1ueuxthaTCpjP1jzUh2foAJdqQDv0h86mdT4IUPuMcA&amp;s=10" TargetMode="External"/><Relationship Id="rId48" Type="http://schemas.openxmlformats.org/officeDocument/2006/relationships/hyperlink" Target="https://encrypted-tbn0.gstatic.com/images?q=tbn:ANd9GcTj_GXgR6AmefG9XaqcRTPQinZN3rNSn4uXfi7sWf4jHQ&amp;s=10" TargetMode="External"/><Relationship Id="rId113" Type="http://schemas.openxmlformats.org/officeDocument/2006/relationships/hyperlink" Target="https://encrypted-tbn0.gstatic.com/images?q=tbn:ANd9GcQplBjCgHgxHQl7RsCkLvbqadxvpmqD0hGbNq7eN-8t_Q&amp;s=10" TargetMode="External"/><Relationship Id="rId320" Type="http://schemas.openxmlformats.org/officeDocument/2006/relationships/hyperlink" Target="https://encrypted-tbn0.gstatic.com/images?q=tbn:ANd9GcQaod_e4DIPx5iDf0ebMOu3P_HxCWfXuybm07FgKA5iCQ&amp;s=10" TargetMode="External"/><Relationship Id="rId155" Type="http://schemas.openxmlformats.org/officeDocument/2006/relationships/hyperlink" Target="https://encrypted-tbn0.gstatic.com/images?q=tbn:ANd9GcT6ri39ELYTOmo5LN5ioJsfe2SDfdv8XzHqytzgZZE8WA&amp;s=10" TargetMode="External"/><Relationship Id="rId197" Type="http://schemas.openxmlformats.org/officeDocument/2006/relationships/hyperlink" Target="https://encrypted-tbn0.gstatic.com/images?q=tbn:ANd9GcRytvYpelBNXwpSaFQb5Bugwg-j-L-wnIa2azEFEdv5IQ&amp;s=10" TargetMode="External"/><Relationship Id="rId362" Type="http://schemas.openxmlformats.org/officeDocument/2006/relationships/hyperlink" Target="https://encrypted-tbn0.gstatic.com/images?q=tbn:ANd9GcSTuMJBnTBJdxTQnubqw14sRjCKa93CUOHArCAQ5w_9qQ&amp;s=10" TargetMode="External"/><Relationship Id="rId418" Type="http://schemas.openxmlformats.org/officeDocument/2006/relationships/hyperlink" Target="https://encrypted-tbn0.gstatic.com/images?q=tbn:ANd9GcTxYBiN-a2o7xGMkODqOkOVnEPTfwE29eW1ibXdMpM_UA&amp;s=10" TargetMode="External"/><Relationship Id="rId222" Type="http://schemas.openxmlformats.org/officeDocument/2006/relationships/hyperlink" Target="https://encrypted-tbn0.gstatic.com/images?q=tbn:ANd9GcRLZd9ejPL9ikFMZsEm7mMzvBIrNU9_zHwip_RclIGl-A&amp;s=10" TargetMode="External"/><Relationship Id="rId264" Type="http://schemas.openxmlformats.org/officeDocument/2006/relationships/hyperlink" Target="https://encrypted-tbn0.gstatic.com/images?q=tbn:ANd9GcQCTACjBEDBarcUAkvVDW6-rXYX4IReFr0KqZfBvZtNYg&amp;s=10" TargetMode="External"/><Relationship Id="rId471" Type="http://schemas.openxmlformats.org/officeDocument/2006/relationships/hyperlink" Target="https://encrypted-tbn0.gstatic.com/images?q=tbn:ANd9GcTitGai0PHE0NI0BmdlLn9yKQYuApOqrz3EAxZ9lb1KHw&amp;s=10" TargetMode="External"/><Relationship Id="rId17" Type="http://schemas.openxmlformats.org/officeDocument/2006/relationships/hyperlink" Target="https://encrypted-tbn0.gstatic.com/images?q=tbn:ANd9GcS84hcgfDrbFQ1xyNQXxpf4CY75ub10Qqm-vRKfpVY2oQ&amp;s=10" TargetMode="External"/><Relationship Id="rId59" Type="http://schemas.openxmlformats.org/officeDocument/2006/relationships/hyperlink" Target="https://encrypted-tbn0.gstatic.com/images?q=tbn:ANd9GcQhuWYAdK92Wax7wa4CHg0DwoYag4AcG0_o0c_6MOTTpQ&amp;s=10" TargetMode="External"/><Relationship Id="rId124" Type="http://schemas.openxmlformats.org/officeDocument/2006/relationships/hyperlink" Target="https://encrypted-tbn0.gstatic.com/images?q=tbn:ANd9GcR4tiyo7RhJ1cI142WVKZ42nSEK3a9vslGlS9THBbY-Lg&amp;s=10" TargetMode="External"/><Relationship Id="rId527" Type="http://schemas.openxmlformats.org/officeDocument/2006/relationships/hyperlink" Target="https://encrypted-tbn0.gstatic.com/images?q=tbn:ANd9GcR4aEXbMEaTMZIuBOC4ZtBOxGvO9E2_9-JcKpXQz5Wv7A&amp;s=10" TargetMode="External"/><Relationship Id="rId70" Type="http://schemas.openxmlformats.org/officeDocument/2006/relationships/hyperlink" Target="https://encrypted-tbn0.gstatic.com/images?q=tbn:ANd9GcQJEpadggR2g5wLB6vDB1PUvciRzpEMIvxmibfnNKpjoA&amp;s=10" TargetMode="External"/><Relationship Id="rId166" Type="http://schemas.openxmlformats.org/officeDocument/2006/relationships/hyperlink" Target="https://encrypted-tbn0.gstatic.com/images?q=tbn:ANd9GcSA1-2d2D0idd1HdFU1RJPez6i6kvMltCRXIUqsBgOBLw&amp;s=10" TargetMode="External"/><Relationship Id="rId331" Type="http://schemas.openxmlformats.org/officeDocument/2006/relationships/hyperlink" Target="https://encrypted-tbn0.gstatic.com/images?q=tbn:ANd9GcSFplvx5hXzeG1J21hx4VKsQl6x6kWl3-MPw4qWGWCqxA&amp;s=10" TargetMode="External"/><Relationship Id="rId373" Type="http://schemas.openxmlformats.org/officeDocument/2006/relationships/hyperlink" Target="https://encrypted-tbn0.gstatic.com/images?q=tbn:ANd9GcSSBP8MiZQa73c4-qtpkHpeaHWhjBIbk1_hhelwgyU8oQ&amp;s=10" TargetMode="External"/><Relationship Id="rId429" Type="http://schemas.openxmlformats.org/officeDocument/2006/relationships/hyperlink" Target="https://encrypted-tbn0.gstatic.com/images?q=tbn:ANd9GcTP0iMZYE3AsaxEg9AOdWzDisOKBprhFMWzwcnpH0hdUA&amp;s=10" TargetMode="External"/><Relationship Id="rId1" Type="http://schemas.openxmlformats.org/officeDocument/2006/relationships/hyperlink" Target="https://encrypted-tbn0.gstatic.com/images?q=tbn:ANd9GcQ9Gs-lxsnV4CcpqBw0dWXFLZhI_2chOaOxUntL3Sy41w&amp;s=10" TargetMode="External"/><Relationship Id="rId233" Type="http://schemas.openxmlformats.org/officeDocument/2006/relationships/hyperlink" Target="https://encrypted-tbn0.gstatic.com/images?q=tbn:ANd9GcTyIccdtmm0EoO8ZWeFVBP9y7p_94sGxxj3H8Ctsr_Efg&amp;s=10" TargetMode="External"/><Relationship Id="rId440" Type="http://schemas.openxmlformats.org/officeDocument/2006/relationships/hyperlink" Target="https://encrypted-tbn0.gstatic.com/images?q=tbn:ANd9GcT4jx-R6aUriqfcOr-fmRrc7KpU7F3IeVdpCHwk2yrcxg&amp;s=10" TargetMode="External"/><Relationship Id="rId28" Type="http://schemas.openxmlformats.org/officeDocument/2006/relationships/hyperlink" Target="https://encrypted-tbn0.gstatic.com/images?q=tbn:ANd9GcTqbn64dlQi6qH2lV8EctFviri35m2G7yJMudduBJo-bA&amp;s=10" TargetMode="External"/><Relationship Id="rId275" Type="http://schemas.openxmlformats.org/officeDocument/2006/relationships/hyperlink" Target="https://encrypted-tbn0.gstatic.com/images?q=tbn:ANd9GcQ2H1s_JgPFS_---5Pvu8KIzg_EiKkevvpQWqkgSplwrw&amp;s=10" TargetMode="External"/><Relationship Id="rId300" Type="http://schemas.openxmlformats.org/officeDocument/2006/relationships/hyperlink" Target="https://encrypted-tbn0.gstatic.com/images?q=tbn:ANd9GcTzERvFLto7qfk0UcgGIPTZbK0XvhTANFpodZfQCrziUA&amp;s=10" TargetMode="External"/><Relationship Id="rId482" Type="http://schemas.openxmlformats.org/officeDocument/2006/relationships/hyperlink" Target="https://encrypted-tbn0.gstatic.com/images?q=tbn:ANd9GcQdJAi_d8Qquehxzv7xb71r7jJW4fBIOMGxc1YjXGDIlA&amp;s=10" TargetMode="External"/><Relationship Id="rId81" Type="http://schemas.openxmlformats.org/officeDocument/2006/relationships/hyperlink" Target="https://encrypted-tbn0.gstatic.com/images?q=tbn:ANd9GcQbgiWaAii-rLTVl6ZNNJNWExUfcLonWEuAEGkB_oMWmg&amp;s=10" TargetMode="External"/><Relationship Id="rId135" Type="http://schemas.openxmlformats.org/officeDocument/2006/relationships/hyperlink" Target="https://encrypted-tbn0.gstatic.com/images?q=tbn:ANd9GcSKPfgAzBm8xfthMKkjII4yHl0sECcEDlC8xHwuswW83Q&amp;s=10" TargetMode="External"/><Relationship Id="rId177" Type="http://schemas.openxmlformats.org/officeDocument/2006/relationships/hyperlink" Target="https://encrypted-tbn0.gstatic.com/images?q=tbn:ANd9GcTzERvFLto7qfk0UcgGIPTZbK0XvhTANFpodZfQCrziUA&amp;s=10" TargetMode="External"/><Relationship Id="rId342" Type="http://schemas.openxmlformats.org/officeDocument/2006/relationships/hyperlink" Target="https://encrypted-tbn0.gstatic.com/images?q=tbn:ANd9GcRcWhcCw4s1dvxILEcMANuapWTI-8h1svK94aBEs2NODw&amp;s=10" TargetMode="External"/><Relationship Id="rId384" Type="http://schemas.openxmlformats.org/officeDocument/2006/relationships/hyperlink" Target="https://encrypted-tbn0.gstatic.com/images?q=tbn:ANd9GcS_ZKWYLZbv51UoFRq8RaenZZSktdgu9wQYOXVZWv-GnQ&amp;s=10" TargetMode="External"/><Relationship Id="rId202" Type="http://schemas.openxmlformats.org/officeDocument/2006/relationships/hyperlink" Target="https://encrypted-tbn0.gstatic.com/images?q=tbn:ANd9GcSHiWStnk5_2JnaXkPHjC4ry3_mCt5BToJ269UN7T2jow&amp;s=10" TargetMode="External"/><Relationship Id="rId244" Type="http://schemas.openxmlformats.org/officeDocument/2006/relationships/hyperlink" Target="https://encrypted-tbn0.gstatic.com/images?q=tbn:ANd9GcT4TvPgpeFGQYzyvn-EUYmtpyarK-L8-kFoZiyWZEq1wA&amp;s=10" TargetMode="External"/><Relationship Id="rId39" Type="http://schemas.openxmlformats.org/officeDocument/2006/relationships/hyperlink" Target="https://encrypted-tbn0.gstatic.com/images?q=tbn:ANd9GcT1-TzHbNMfZnxnJd5JgRWiLF4ZP-nEV9yzl5e3y7kE_g&amp;s=10" TargetMode="External"/><Relationship Id="rId286" Type="http://schemas.openxmlformats.org/officeDocument/2006/relationships/hyperlink" Target="https://encrypted-tbn0.gstatic.com/images?q=tbn:ANd9GcSi88lf2Tzj_X-QqIb-tdnIk3ykV03GB8LnA7xTlqaxHw&amp;s=10" TargetMode="External"/><Relationship Id="rId451" Type="http://schemas.openxmlformats.org/officeDocument/2006/relationships/hyperlink" Target="https://encrypted-tbn0.gstatic.com/images?q=tbn:ANd9GcSLKAP9DdhMDZvhwUUgXFGOCAzdr-VgGFy1E5Zjm4rIkg&amp;s=10" TargetMode="External"/><Relationship Id="rId493" Type="http://schemas.openxmlformats.org/officeDocument/2006/relationships/hyperlink" Target="https://encrypted-tbn0.gstatic.com/images?q=tbn:ANd9GcTeYy2sPMC-ciNwCxuyE97Et48499FShTzVm3eeTajW5Q&amp;s=10" TargetMode="External"/><Relationship Id="rId507" Type="http://schemas.openxmlformats.org/officeDocument/2006/relationships/hyperlink" Target="https://encrypted-tbn0.gstatic.com/images?q=tbn:ANd9GcS_DGn6f6Fgr_YKDIyWcZpUXoaQyVDE0YIbGHzO4Lni-A&amp;s=10" TargetMode="External"/><Relationship Id="rId50" Type="http://schemas.openxmlformats.org/officeDocument/2006/relationships/hyperlink" Target="https://encrypted-tbn0.gstatic.com/images?q=tbn:ANd9GcQlvA9sbz6QBhEQCaQfbbe9-qQgAxxDWBwqBrql-_iSKA&amp;s=10" TargetMode="External"/><Relationship Id="rId104" Type="http://schemas.openxmlformats.org/officeDocument/2006/relationships/hyperlink" Target="https://encrypted-tbn0.gstatic.com/images?q=tbn:ANd9GcTm6x0mHTFdho0_sf1cy0Igid4I_dp028qAh1xYiUnRaw&amp;s=10" TargetMode="External"/><Relationship Id="rId146" Type="http://schemas.openxmlformats.org/officeDocument/2006/relationships/hyperlink" Target="https://encrypted-tbn0.gstatic.com/images?q=tbn:ANd9GcRCYGlAzwdbT4gBt5xVjp8NoLKD72Lu4aKJn_aXsmFXnw&amp;s=10" TargetMode="External"/><Relationship Id="rId188" Type="http://schemas.openxmlformats.org/officeDocument/2006/relationships/hyperlink" Target="https://encrypted-tbn0.gstatic.com/images?q=tbn:ANd9GcSv-jddf3KoimM0fD7W8wrwi0-zQCttg65D1Ug2RVPAqw&amp;s=10" TargetMode="External"/><Relationship Id="rId311" Type="http://schemas.openxmlformats.org/officeDocument/2006/relationships/hyperlink" Target="https://encrypted-tbn0.gstatic.com/images?q=tbn:ANd9GcQnmZW0myfYag3WCthfwUyUU_1rNZF1fMt7BicXur36bg&amp;s=10" TargetMode="External"/><Relationship Id="rId353" Type="http://schemas.openxmlformats.org/officeDocument/2006/relationships/hyperlink" Target="https://encrypted-tbn0.gstatic.com/images?q=tbn:ANd9GcRS74TbnNeZSUL6GmaKyMZmZLgRUqPwsADhKnRwv4Oawg&amp;s=10" TargetMode="External"/><Relationship Id="rId395" Type="http://schemas.openxmlformats.org/officeDocument/2006/relationships/hyperlink" Target="https://encrypted-tbn0.gstatic.com/images?q=tbn:ANd9GcQNLOzHLyxkgF4PteJB5njFZyAFoNDpzmEYYIvx3Btdeg&amp;s=10" TargetMode="External"/><Relationship Id="rId409" Type="http://schemas.openxmlformats.org/officeDocument/2006/relationships/hyperlink" Target="https://encrypted-tbn0.gstatic.com/images?q=tbn:ANd9GcSTTCK42v82U1S8jGcHclDEd1600z011PcwQtr6qXqkBA&amp;s=10" TargetMode="External"/><Relationship Id="rId92" Type="http://schemas.openxmlformats.org/officeDocument/2006/relationships/hyperlink" Target="https://encrypted-tbn0.gstatic.com/images?q=tbn:ANd9GcTQtJAow6EblLqR7pVqppndDb1hFxcwfNqJT89iZ1pHXQ&amp;s=10" TargetMode="External"/><Relationship Id="rId213" Type="http://schemas.openxmlformats.org/officeDocument/2006/relationships/hyperlink" Target="https://tse2.mm.bing.net/th/id/OIP.VNg_50PFfG_SuaVhqkZrKgHaE7?r=0&amp;pid=Api&amp;h=220&amp;P=0" TargetMode="External"/><Relationship Id="rId420" Type="http://schemas.openxmlformats.org/officeDocument/2006/relationships/hyperlink" Target="https://encrypted-tbn0.gstatic.com/images?q=tbn:ANd9GcTxYBiN-a2o7xGMkODqOkOVnEPTfwE29eW1ibXdMpM_UA&amp;s=10" TargetMode="External"/><Relationship Id="rId255" Type="http://schemas.openxmlformats.org/officeDocument/2006/relationships/hyperlink" Target="https://encrypted-tbn0.gstatic.com/images?q=tbn:ANd9GcT4gVLYT6WzBcELX0L4knbh8MSeqrTJ5scXD5Fj3oJLrQ&amp;s=10" TargetMode="External"/><Relationship Id="rId297" Type="http://schemas.openxmlformats.org/officeDocument/2006/relationships/hyperlink" Target="https://encrypted-tbn0.gstatic.com/images?q=tbn:ANd9GcTmJeoNp2GruETr1TVwLHmEG4vz09ikFk9w9BCPDC1BFg&amp;s=10" TargetMode="External"/><Relationship Id="rId462" Type="http://schemas.openxmlformats.org/officeDocument/2006/relationships/hyperlink" Target="https://encrypted-tbn0.gstatic.com/images?q=tbn:ANd9GcSimnRqr2XjIaQSGFcG1OvsLfmpiyteTVyqW60RGjkWOQ&amp;s=10" TargetMode="External"/><Relationship Id="rId518" Type="http://schemas.openxmlformats.org/officeDocument/2006/relationships/hyperlink" Target="https://encrypted-tbn0.gstatic.com/images?q=tbn:ANd9GcSYrhRsNO5aY4Avq-1bct-_M9AMPh1rosSamhgjwbGX4Q&amp;s" TargetMode="External"/><Relationship Id="rId115" Type="http://schemas.openxmlformats.org/officeDocument/2006/relationships/hyperlink" Target="https://encrypted-tbn0.gstatic.com/images?q=tbn:ANd9GcS_x2eMGCbvjEB-BFenSPK3h01JgVvof1kA-lIBl2q8DQ&amp;s=10" TargetMode="External"/><Relationship Id="rId157" Type="http://schemas.openxmlformats.org/officeDocument/2006/relationships/hyperlink" Target="https://encrypted-tbn0.gstatic.com/images?q=tbn:ANd9GcT6ri39ELYTOmo5LN5ioJsfe2SDfdv8XzHqytzgZZE8WA&amp;s=10" TargetMode="External"/><Relationship Id="rId322" Type="http://schemas.openxmlformats.org/officeDocument/2006/relationships/hyperlink" Target="https://encrypted-tbn0.gstatic.com/images?q=tbn:ANd9GcTACDz3vR2HMe5U8EiqjiYkTch83LwfBcPQ6QlBUvH0yQ&amp;s=10" TargetMode="External"/><Relationship Id="rId364" Type="http://schemas.openxmlformats.org/officeDocument/2006/relationships/hyperlink" Target="https://encrypted-tbn0.gstatic.com/images?q=tbn:ANd9GcSkvlzxALpESae0T54sXJB9UoOnoCN_TPqNocxy_6sbRQ&amp;s=10" TargetMode="External"/><Relationship Id="rId61" Type="http://schemas.openxmlformats.org/officeDocument/2006/relationships/hyperlink" Target="https://encrypted-tbn0.gstatic.com/images?q=tbn:ANd9GcQhuWYAdK92Wax7wa4CHg0DwoYag4AcG0_o0c_6MOTTpQ&amp;s=10" TargetMode="External"/><Relationship Id="rId199" Type="http://schemas.openxmlformats.org/officeDocument/2006/relationships/hyperlink" Target="https://encrypted-tbn0.gstatic.com/images?q=tbn:ANd9GcRytvYpelBNXwpSaFQb5Bugwg-j-L-wnIa2azEFEdv5IQ&amp;s=10" TargetMode="External"/><Relationship Id="rId19" Type="http://schemas.openxmlformats.org/officeDocument/2006/relationships/hyperlink" Target="https://encrypted-tbn0.gstatic.com/images?q=tbn:ANd9GcQr1yWZQ2TXATlaXrPNgnR4dc_eZ60UsTOKqK_bxKwcWg&amp;s=10" TargetMode="External"/><Relationship Id="rId224" Type="http://schemas.openxmlformats.org/officeDocument/2006/relationships/hyperlink" Target="https://encrypted-tbn0.gstatic.com/images?q=tbn:ANd9GcSIwl6G5Ta5L-iko1omkhL7h8mkokXPRVbxobLEIiMvSQ&amp;s=10" TargetMode="External"/><Relationship Id="rId266" Type="http://schemas.openxmlformats.org/officeDocument/2006/relationships/hyperlink" Target="https://encrypted-tbn0.gstatic.com/images?q=tbn:ANd9GcSBQzqIfvmQkXjhAf1_ey889crgKiteXvoSNjlBtSllVw&amp;s=10" TargetMode="External"/><Relationship Id="rId431" Type="http://schemas.openxmlformats.org/officeDocument/2006/relationships/hyperlink" Target="https://encrypted-tbn0.gstatic.com/images?q=tbn:ANd9GcT9F_dyl3JFqQ5FyMCiK4voJzJ9YJ5AQp9cu8R5IRpM2A&amp;s=10" TargetMode="External"/><Relationship Id="rId473" Type="http://schemas.openxmlformats.org/officeDocument/2006/relationships/hyperlink" Target="https://encrypted-tbn0.gstatic.com/images?q=tbn:ANd9GcTitGai0PHE0NI0BmdlLn9yKQYuApOqrz3EAxZ9lb1KHw&amp;s=10" TargetMode="External"/><Relationship Id="rId529" Type="http://schemas.openxmlformats.org/officeDocument/2006/relationships/hyperlink" Target="https://encrypted-tbn0.gstatic.com/images?q=tbn:ANd9GcSVqSfXNAkLqFK1EQ1Wx6OfDTD_vBQkWq1qk2QgRbE-xQ&amp;s=10" TargetMode="External"/><Relationship Id="rId30" Type="http://schemas.openxmlformats.org/officeDocument/2006/relationships/hyperlink" Target="https://encrypted-tbn0.gstatic.com/images?q=tbn:ANd9GcQ2_UKLZ8jUU_u7gXoe9w3iVw1gNxxEM8lU4a2zFHnSeQ&amp;s=10" TargetMode="External"/><Relationship Id="rId126" Type="http://schemas.openxmlformats.org/officeDocument/2006/relationships/hyperlink" Target="https://encrypted-tbn0.gstatic.com/images?q=tbn:ANd9GcR4tiyo7RhJ1cI142WVKZ42nSEK3a9vslGlS9THBbY-Lg&amp;s=10" TargetMode="External"/><Relationship Id="rId168" Type="http://schemas.openxmlformats.org/officeDocument/2006/relationships/hyperlink" Target="https://encrypted-tbn0.gstatic.com/images?q=tbn:ANd9GcSA1-2d2D0idd1HdFU1RJPez6i6kvMltCRXIUqsBgOBLw&amp;s=10" TargetMode="External"/><Relationship Id="rId333" Type="http://schemas.openxmlformats.org/officeDocument/2006/relationships/hyperlink" Target="https://encrypted-tbn0.gstatic.com/images?q=tbn:ANd9GcSJUcnrmtnJDtvuhUmmbHtM0bwm2KXsJlakIWCsnE7L8Q&amp;s=10" TargetMode="External"/><Relationship Id="rId72" Type="http://schemas.openxmlformats.org/officeDocument/2006/relationships/hyperlink" Target="https://encrypted-tbn0.gstatic.com/images?q=tbn:ANd9GcQJEpadggR2g5wLB6vDB1PUvciRzpEMIvxmibfnNKpjoA&amp;s=10" TargetMode="External"/><Relationship Id="rId375" Type="http://schemas.openxmlformats.org/officeDocument/2006/relationships/hyperlink" Target="https://encrypted-tbn0.gstatic.com/images?q=tbn:ANd9GcRWXSToB3sZlH4FRIX6DacEmT6LP_LRpkv5T24YOBniOw&amp;s=10" TargetMode="External"/><Relationship Id="rId3" Type="http://schemas.openxmlformats.org/officeDocument/2006/relationships/hyperlink" Target="https://encrypted-tbn0.gstatic.com/images?q=tbn:ANd9GcQ9Gs-lxsnV4CcpqBw0dWXFLZhI_2chOaOxUntL3Sy41w&amp;s=10" TargetMode="External"/><Relationship Id="rId235" Type="http://schemas.openxmlformats.org/officeDocument/2006/relationships/hyperlink" Target="https://encrypted-tbn0.gstatic.com/images?q=tbn:ANd9GcTyIccdtmm0EoO8ZWeFVBP9y7p_94sGxxj3H8Ctsr_Efg&amp;s=10" TargetMode="External"/><Relationship Id="rId277" Type="http://schemas.openxmlformats.org/officeDocument/2006/relationships/hyperlink" Target="https://encrypted-tbn0.gstatic.com/images?q=tbn:ANd9GcQ2H1s_JgPFS_---5Pvu8KIzg_EiKkevvpQWqkgSplwrw&amp;s=10" TargetMode="External"/><Relationship Id="rId400" Type="http://schemas.openxmlformats.org/officeDocument/2006/relationships/hyperlink" Target="https://encrypted-tbn0.gstatic.com/images?q=tbn:ANd9GcSXzoga6BWTGu8wFBcu3MwG-3ScFqYx2Hg-mnqH40o1xg&amp;s=10" TargetMode="External"/><Relationship Id="rId442" Type="http://schemas.openxmlformats.org/officeDocument/2006/relationships/hyperlink" Target="https://encrypted-tbn0.gstatic.com/images?q=tbn:ANd9GcT4jx-R6aUriqfcOr-fmRrc7KpU7F3IeVdpCHwk2yrcxg&amp;s=10" TargetMode="External"/><Relationship Id="rId484" Type="http://schemas.openxmlformats.org/officeDocument/2006/relationships/hyperlink" Target="https://encrypted-tbn0.gstatic.com/images?q=tbn:ANd9GcS55poETLn98DBNDlmYYEnkmTv72MwxVB4nVY5ogEKvBA&amp;s=10" TargetMode="External"/><Relationship Id="rId137" Type="http://schemas.openxmlformats.org/officeDocument/2006/relationships/hyperlink" Target="https://encrypted-tbn0.gstatic.com/images?q=tbn:ANd9GcSKPfgAzBm8xfthMKkjII4yHl0sECcEDlC8xHwuswW83Q&amp;s=10" TargetMode="External"/><Relationship Id="rId302" Type="http://schemas.openxmlformats.org/officeDocument/2006/relationships/hyperlink" Target="https://encrypted-tbn0.gstatic.com/images?q=tbn:ANd9GcSXquwC3NX7G-v1Gdv4SlI4lWXBC4429JDSjJ4ap_quzg&amp;s=10" TargetMode="External"/><Relationship Id="rId344" Type="http://schemas.openxmlformats.org/officeDocument/2006/relationships/hyperlink" Target="https://encrypted-tbn0.gstatic.com/images?q=tbn:ANd9GcRcWhcCw4s1dvxILEcMANuapWTI-8h1svK94aBEs2NODw&amp;s=10" TargetMode="External"/><Relationship Id="rId41" Type="http://schemas.openxmlformats.org/officeDocument/2006/relationships/hyperlink" Target="https://encrypted-tbn0.gstatic.com/images?q=tbn:ANd9GcQYl5F785Qfbd3LjAxNFftHmrstm0Dgtj4hkFO3hDuj5A&amp;s=10" TargetMode="External"/><Relationship Id="rId83" Type="http://schemas.openxmlformats.org/officeDocument/2006/relationships/hyperlink" Target="https://encrypted-tbn0.gstatic.com/images?q=tbn:ANd9GcTQtJAow6EblLqR7pVqppndDb1hFxcwfNqJT89iZ1pHXQ&amp;s=10" TargetMode="External"/><Relationship Id="rId179" Type="http://schemas.openxmlformats.org/officeDocument/2006/relationships/hyperlink" Target="https://encrypted-tbn0.gstatic.com/images?q=tbn:ANd9GcRGxtHHmFllvXH4OuK0KVAHSYNkxR_gHY240ZgEFomufw&amp;s=10" TargetMode="External"/><Relationship Id="rId386" Type="http://schemas.openxmlformats.org/officeDocument/2006/relationships/hyperlink" Target="https://encrypted-tbn0.gstatic.com/images?q=tbn:ANd9GcSAvCEnHU83Y3aBj5-8ZGKzUC0dOkfprzyZOSlIqScikQ&amp;s=10" TargetMode="External"/><Relationship Id="rId190" Type="http://schemas.openxmlformats.org/officeDocument/2006/relationships/hyperlink" Target="https://encrypted-tbn0.gstatic.com/images?q=tbn:ANd9GcRytvYpelBNXwpSaFQb5Bugwg-j-L-wnIa2azEFEdv5IQ&amp;s=10" TargetMode="External"/><Relationship Id="rId204" Type="http://schemas.openxmlformats.org/officeDocument/2006/relationships/hyperlink" Target="https://encrypted-tbn0.gstatic.com/images?q=tbn:ANd9GcRDjBuaOp89z4xnJKaqLxeriVL6e1gdGamIQqMfQSaSIw&amp;s=10" TargetMode="External"/><Relationship Id="rId246" Type="http://schemas.openxmlformats.org/officeDocument/2006/relationships/hyperlink" Target="https://encrypted-tbn0.gstatic.com/images?q=tbn:ANd9GcRN38nbnaqSmefDywsOnI2yshe5lmqQVAeVxL8eVLsJCQ&amp;s=10" TargetMode="External"/><Relationship Id="rId288" Type="http://schemas.openxmlformats.org/officeDocument/2006/relationships/hyperlink" Target="https://encrypted-tbn0.gstatic.com/images?q=tbn:ANd9GcRckkEAIwodYS3-FhqieHMktHOyiJ33OkWnSD3d361ZBQ&amp;s=10" TargetMode="External"/><Relationship Id="rId411" Type="http://schemas.openxmlformats.org/officeDocument/2006/relationships/hyperlink" Target="https://encrypted-tbn0.gstatic.com/images?q=tbn:ANd9GcR1S-1f6wPrkP-joA1OJCtbtC4n6ssVfgctPzx5fflayg&amp;s=10" TargetMode="External"/><Relationship Id="rId453" Type="http://schemas.openxmlformats.org/officeDocument/2006/relationships/hyperlink" Target="https://encrypted-tbn0.gstatic.com/images?q=tbn:ANd9GcSNhZAbqZEqeGGAKBQW9gUpu35_cRwuiihALc-3KtX_uA&amp;s=10" TargetMode="External"/><Relationship Id="rId509" Type="http://schemas.openxmlformats.org/officeDocument/2006/relationships/hyperlink" Target="https://encrypted-tbn0.gstatic.com/images?q=tbn:ANd9GcS_DGn6f6Fgr_YKDIyWcZpUXoaQyVDE0YIbGHzO4Lni-A&amp;s=10" TargetMode="External"/><Relationship Id="rId106" Type="http://schemas.openxmlformats.org/officeDocument/2006/relationships/hyperlink" Target="https://encrypted-tbn0.gstatic.com/images?q=tbn:ANd9GcSmMx7k3cPTCR_VvVPLaUMUFEaHYYQAp7Y___wy77E4gA&amp;s=10" TargetMode="External"/><Relationship Id="rId313" Type="http://schemas.openxmlformats.org/officeDocument/2006/relationships/hyperlink" Target="https://encrypted-tbn0.gstatic.com/images?q=tbn:ANd9GcRzUjkAUNb4XCRuGKlly2wsahci4CUVUq97-fKNfZTl3g&amp;s=10" TargetMode="External"/><Relationship Id="rId495" Type="http://schemas.openxmlformats.org/officeDocument/2006/relationships/hyperlink" Target="https://encrypted-tbn0.gstatic.com/images?q=tbn:ANd9GcTeYy2sPMC-ciNwCxuyE97Et48499FShTzVm3eeTajW5Q&amp;s=10" TargetMode="External"/><Relationship Id="rId10" Type="http://schemas.openxmlformats.org/officeDocument/2006/relationships/hyperlink" Target="https://encrypted-tbn0.gstatic.com/images?q=tbn:ANd9GcTFwB2O_R0v91T0bi8hT-lxm-YgX3v8ZD9_OmUzwIG-wA&amp;s=10" TargetMode="External"/><Relationship Id="rId52" Type="http://schemas.openxmlformats.org/officeDocument/2006/relationships/hyperlink" Target="https://encrypted-tbn0.gstatic.com/images?q=tbn:ANd9GcQlvA9sbz6QBhEQCaQfbbe9-qQgAxxDWBwqBrql-_iSKA&amp;s=10" TargetMode="External"/><Relationship Id="rId94" Type="http://schemas.openxmlformats.org/officeDocument/2006/relationships/hyperlink" Target="https://encrypted-tbn0.gstatic.com/images?q=tbn:ANd9GcTQtJAow6EblLqR7pVqppndDb1hFxcwfNqJT89iZ1pHXQ&amp;s=10" TargetMode="External"/><Relationship Id="rId148" Type="http://schemas.openxmlformats.org/officeDocument/2006/relationships/hyperlink" Target="https://encrypted-tbn0.gstatic.com/images?q=tbn:ANd9GcRCYGlAzwdbT4gBt5xVjp8NoLKD72Lu4aKJn_aXsmFXnw&amp;s=10" TargetMode="External"/><Relationship Id="rId355" Type="http://schemas.openxmlformats.org/officeDocument/2006/relationships/hyperlink" Target="https://encrypted-tbn0.gstatic.com/images?q=tbn:ANd9GcR5rqPfKYPqRQoTYoMMoAhEthF46br75lF1FJsVT6UkWw&amp;s=10" TargetMode="External"/><Relationship Id="rId397" Type="http://schemas.openxmlformats.org/officeDocument/2006/relationships/hyperlink" Target="https://encrypted-tbn0.gstatic.com/images?q=tbn:ANd9GcSXzoga6BWTGu8wFBcu3MwG-3ScFqYx2Hg-mnqH40o1xg&amp;s=10" TargetMode="External"/><Relationship Id="rId520" Type="http://schemas.openxmlformats.org/officeDocument/2006/relationships/hyperlink" Target="https://encrypted-tbn0.gstatic.com/images?q=tbn:ANd9GcTxJ-5KVkgExDOJ5vsom4WApu97bHg7gUA2CCjElLPwTQ&amp;s=10" TargetMode="External"/><Relationship Id="rId215" Type="http://schemas.openxmlformats.org/officeDocument/2006/relationships/hyperlink" Target="https://encrypted-tbn0.gstatic.com/images?q=tbn:ANd9GcQ9XB1P89qVdOe4-Yi52YUyUHlogcLQob91bV9KowMZ2w&amp;s" TargetMode="External"/><Relationship Id="rId257" Type="http://schemas.openxmlformats.org/officeDocument/2006/relationships/hyperlink" Target="https://encrypted-tbn0.gstatic.com/images?q=tbn:ANd9GcSm71FuOzr1Ycsuj1D91BMG7fngiUjR_aQKQB-ceQ_sGQ&amp;s" TargetMode="External"/><Relationship Id="rId422" Type="http://schemas.openxmlformats.org/officeDocument/2006/relationships/hyperlink" Target="https://encrypted-tbn0.gstatic.com/images?q=tbn:ANd9GcRK4liUQBDuNK679Bnh5SHHpGD5Lph0gQQSranaxtbZTQ&amp;s" TargetMode="External"/><Relationship Id="rId464" Type="http://schemas.openxmlformats.org/officeDocument/2006/relationships/hyperlink" Target="https://encrypted-tbn0.gstatic.com/images?q=tbn:ANd9GcT3HVwQtDlzsD26pKTjBqpMXmfyVp20kQLYwwBkTNus-g&amp;s=10" TargetMode="External"/><Relationship Id="rId299" Type="http://schemas.openxmlformats.org/officeDocument/2006/relationships/hyperlink" Target="https://encrypted-tbn0.gstatic.com/images?q=tbn:ANd9GcTmJeoNp2GruETr1TVwLHmEG4vz09ikFk9w9BCPDC1BFg&amp;s=10" TargetMode="External"/><Relationship Id="rId63" Type="http://schemas.openxmlformats.org/officeDocument/2006/relationships/hyperlink" Target="https://encrypted-tbn0.gstatic.com/images?q=tbn:ANd9GcQhuWYAdK92Wax7wa4CHg0DwoYag4AcG0_o0c_6MOTTpQ&amp;s=10" TargetMode="External"/><Relationship Id="rId159" Type="http://schemas.openxmlformats.org/officeDocument/2006/relationships/hyperlink" Target="https://encrypted-tbn0.gstatic.com/images?q=tbn:ANd9GcRp4tlb4eR64obL1aCM8v9zmI38j-Fkq6tl93AdjA5TbA&amp;s=10" TargetMode="External"/><Relationship Id="rId366" Type="http://schemas.openxmlformats.org/officeDocument/2006/relationships/hyperlink" Target="https://encrypted-tbn0.gstatic.com/images?q=tbn:ANd9GcSkvlzxALpESae0T54sXJB9UoOnoCN_TPqNocxy_6sbRQ&amp;s=10" TargetMode="External"/><Relationship Id="rId226" Type="http://schemas.openxmlformats.org/officeDocument/2006/relationships/hyperlink" Target="https://encrypted-tbn0.gstatic.com/images?q=tbn:ANd9GcSIwl6G5Ta5L-iko1omkhL7h8mkokXPRVbxobLEIiMvSQ&amp;s=10" TargetMode="External"/><Relationship Id="rId433" Type="http://schemas.openxmlformats.org/officeDocument/2006/relationships/hyperlink" Target="https://encrypted-tbn0.gstatic.com/images?q=tbn:ANd9GcRPJVeEcmpJEQJOPT0RY-GA7YaB-Gf1RU8CRAyFCa6WZQ&amp;s=10" TargetMode="External"/><Relationship Id="rId74" Type="http://schemas.openxmlformats.org/officeDocument/2006/relationships/hyperlink" Target="https://encrypted-tbn0.gstatic.com/images?q=tbn:ANd9GcRRvIpCIozdxIWFCsj_UMtngrFefEqEDEkZ6bz2SPsJkQ&amp;s=10" TargetMode="External"/><Relationship Id="rId377" Type="http://schemas.openxmlformats.org/officeDocument/2006/relationships/hyperlink" Target="https://encrypted-tbn0.gstatic.com/images?q=tbn:ANd9GcTLOzPjD4Jatawvvra-5-5RF5wFbSEOvBhmT4PECymPDA&amp;s" TargetMode="External"/><Relationship Id="rId500" Type="http://schemas.openxmlformats.org/officeDocument/2006/relationships/hyperlink" Target="https://encrypted-tbn0.gstatic.com/images?q=tbn:ANd9GcS_DGn6f6Fgr_YKDIyWcZpUXoaQyVDE0YIbGHzO4Lni-A&amp;s=10" TargetMode="External"/><Relationship Id="rId5" Type="http://schemas.openxmlformats.org/officeDocument/2006/relationships/hyperlink" Target="https://encrypted-tbn0.gstatic.com/images?q=tbn:ANd9GcRJowe_-4KMUAEKPVaOKhT438sZRqLiCqmY3CO1ZYmsjw&amp;s=10" TargetMode="External"/><Relationship Id="rId237" Type="http://schemas.openxmlformats.org/officeDocument/2006/relationships/hyperlink" Target="https://encrypted-tbn0.gstatic.com/images?q=tbn:ANd9GcSJzEgg3Cvfd9oQMRQ6LLU88yTED6bZdH3-G6VZiDdF1Q&amp;s=10"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05"/>
  <sheetViews>
    <sheetView tabSelected="1" zoomScale="36" zoomScaleNormal="100" workbookViewId="0">
      <pane xSplit="1" ySplit="1" topLeftCell="I592" activePane="bottomRight" state="frozen"/>
      <selection pane="topRight" activeCell="B1" sqref="B1"/>
      <selection pane="bottomLeft" activeCell="A846" sqref="A846"/>
      <selection pane="bottomRight" activeCell="A1096" sqref="A1096:XFD1096"/>
    </sheetView>
  </sheetViews>
  <sheetFormatPr defaultColWidth="8.6640625" defaultRowHeight="14.4" x14ac:dyDescent="0.3"/>
  <cols>
    <col min="1" max="1" width="36" customWidth="1"/>
    <col min="2" max="2" width="133.77734375" customWidth="1"/>
    <col min="3" max="3" width="72.5546875" customWidth="1"/>
    <col min="4" max="4" width="84.44140625" customWidth="1"/>
    <col min="5" max="5" width="51.5546875" customWidth="1"/>
    <col min="6" max="6" width="78.88671875" customWidth="1"/>
    <col min="7" max="7" width="60" customWidth="1"/>
    <col min="8" max="8" width="54.5546875" customWidth="1"/>
    <col min="9" max="10" width="255.6640625" customWidth="1"/>
    <col min="11" max="11" width="231.88671875" customWidth="1"/>
    <col min="12" max="25" width="20" customWidth="1"/>
  </cols>
  <sheetData>
    <row r="1" spans="1:12" ht="31.5" customHeight="1"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t="s">
        <v>12</v>
      </c>
      <c r="B2" s="2" t="s">
        <v>13</v>
      </c>
      <c r="C2" s="2" t="s">
        <v>14</v>
      </c>
      <c r="D2" s="3">
        <v>0.33333333333333298</v>
      </c>
      <c r="E2" s="3">
        <v>0.39583333333333298</v>
      </c>
      <c r="F2" s="2" t="s">
        <v>15</v>
      </c>
      <c r="G2" s="2" t="s">
        <v>16</v>
      </c>
      <c r="H2" s="2">
        <v>4.5</v>
      </c>
      <c r="I2" s="2" t="s">
        <v>17</v>
      </c>
      <c r="J2" s="2" t="s">
        <v>18</v>
      </c>
      <c r="K2" s="2" t="s">
        <v>19</v>
      </c>
      <c r="L2" s="2" t="str">
        <f>IFERROR(VLOOKUP(IFERROR(VLOOKUP(C2,'Destination Alias'!$A:$B,2,FALSE()),C2),'Best Months'!$A:$B,2,FALSE()),"Not listed")</f>
        <v>Dec–Mar</v>
      </c>
    </row>
    <row r="3" spans="1:12" x14ac:dyDescent="0.3">
      <c r="A3" s="2" t="s">
        <v>12</v>
      </c>
      <c r="B3" s="2" t="s">
        <v>13</v>
      </c>
      <c r="C3" s="2" t="s">
        <v>14</v>
      </c>
      <c r="D3" s="3">
        <v>0.39583333333333298</v>
      </c>
      <c r="E3" s="3">
        <v>0.45833333333333298</v>
      </c>
      <c r="F3" s="2" t="s">
        <v>15</v>
      </c>
      <c r="G3" s="2" t="s">
        <v>20</v>
      </c>
      <c r="H3" s="2">
        <v>4.5</v>
      </c>
      <c r="I3" s="2" t="s">
        <v>17</v>
      </c>
      <c r="J3" s="2" t="s">
        <v>18</v>
      </c>
      <c r="K3" s="2" t="s">
        <v>19</v>
      </c>
      <c r="L3" s="2" t="str">
        <f>IFERROR(VLOOKUP(IFERROR(VLOOKUP(C3,'Destination Alias'!$A:$B,2,FALSE()),C3),'Best Months'!$A:$B,2,FALSE()),"Not listed")</f>
        <v>Dec–Mar</v>
      </c>
    </row>
    <row r="4" spans="1:12" x14ac:dyDescent="0.3">
      <c r="A4" s="2" t="s">
        <v>21</v>
      </c>
      <c r="B4" s="2" t="s">
        <v>22</v>
      </c>
      <c r="C4" s="2" t="s">
        <v>23</v>
      </c>
      <c r="D4" s="3">
        <v>0.33333333333333298</v>
      </c>
      <c r="E4" s="3">
        <v>0.39583333333333298</v>
      </c>
      <c r="F4" s="2" t="s">
        <v>15</v>
      </c>
      <c r="G4" s="2" t="s">
        <v>16</v>
      </c>
      <c r="H4" s="2">
        <v>4.5999999999999996</v>
      </c>
      <c r="I4" s="2" t="s">
        <v>24</v>
      </c>
      <c r="J4" s="2" t="s">
        <v>25</v>
      </c>
      <c r="K4" s="2"/>
      <c r="L4" s="2" t="str">
        <f>IFERROR(VLOOKUP(IFERROR(VLOOKUP(C4,'Destination Alias'!$A:$B,2,FALSE()),C4),'Best Months'!$A:$B,2,FALSE()),"Not listed")</f>
        <v>Dec–Mar</v>
      </c>
    </row>
    <row r="5" spans="1:12" x14ac:dyDescent="0.3">
      <c r="A5" s="2" t="s">
        <v>21</v>
      </c>
      <c r="B5" s="2" t="s">
        <v>22</v>
      </c>
      <c r="C5" s="2" t="s">
        <v>23</v>
      </c>
      <c r="D5" s="3">
        <v>0.39583333333333298</v>
      </c>
      <c r="E5" s="3">
        <v>0.45833333333333298</v>
      </c>
      <c r="F5" s="2" t="s">
        <v>15</v>
      </c>
      <c r="G5" s="2" t="s">
        <v>20</v>
      </c>
      <c r="H5" s="2">
        <v>4.5999999999999996</v>
      </c>
      <c r="I5" s="2" t="s">
        <v>24</v>
      </c>
      <c r="J5" s="2" t="s">
        <v>25</v>
      </c>
      <c r="K5" s="2"/>
      <c r="L5" s="2" t="str">
        <f>IFERROR(VLOOKUP(IFERROR(VLOOKUP(C5,'Destination Alias'!$A:$B,2,FALSE()),C5),'Best Months'!$A:$B,2,FALSE()),"Not listed")</f>
        <v>Dec–Mar</v>
      </c>
    </row>
    <row r="6" spans="1:12" x14ac:dyDescent="0.3">
      <c r="A6" s="2" t="s">
        <v>26</v>
      </c>
      <c r="B6" s="2" t="s">
        <v>22</v>
      </c>
      <c r="C6" s="2" t="s">
        <v>27</v>
      </c>
      <c r="D6" s="3">
        <v>0.27083333333333298</v>
      </c>
      <c r="E6" s="3">
        <v>0.33333333333333298</v>
      </c>
      <c r="F6" s="2" t="s">
        <v>15</v>
      </c>
      <c r="G6" s="2" t="s">
        <v>28</v>
      </c>
      <c r="H6" s="2">
        <v>4.5999999999999996</v>
      </c>
      <c r="I6" s="2" t="s">
        <v>29</v>
      </c>
      <c r="J6" s="2" t="s">
        <v>30</v>
      </c>
      <c r="K6" s="2"/>
      <c r="L6" s="2" t="str">
        <f>IFERROR(VLOOKUP(IFERROR(VLOOKUP(C6,'Destination Alias'!$A:$B,2,FALSE()),C6),'Best Months'!$A:$B,2,FALSE()),"Not listed")</f>
        <v>May–Sep</v>
      </c>
    </row>
    <row r="7" spans="1:12" x14ac:dyDescent="0.3">
      <c r="A7" s="2" t="s">
        <v>26</v>
      </c>
      <c r="B7" s="2" t="s">
        <v>22</v>
      </c>
      <c r="C7" s="2" t="s">
        <v>27</v>
      </c>
      <c r="D7" s="3">
        <v>0.33333333333333298</v>
      </c>
      <c r="E7" s="3">
        <v>0.39583333333333298</v>
      </c>
      <c r="F7" s="2" t="s">
        <v>15</v>
      </c>
      <c r="G7" s="2" t="s">
        <v>16</v>
      </c>
      <c r="H7" s="2">
        <v>4.5999999999999996</v>
      </c>
      <c r="I7" s="2" t="s">
        <v>29</v>
      </c>
      <c r="J7" s="2" t="s">
        <v>30</v>
      </c>
      <c r="K7" s="2"/>
      <c r="L7" s="2" t="str">
        <f>IFERROR(VLOOKUP(IFERROR(VLOOKUP(C7,'Destination Alias'!$A:$B,2,FALSE()),C7),'Best Months'!$A:$B,2,FALSE()),"Not listed")</f>
        <v>May–Sep</v>
      </c>
    </row>
    <row r="8" spans="1:12" x14ac:dyDescent="0.3">
      <c r="A8" s="2" t="s">
        <v>31</v>
      </c>
      <c r="B8" s="2" t="s">
        <v>22</v>
      </c>
      <c r="C8" s="2" t="s">
        <v>27</v>
      </c>
      <c r="D8" s="3">
        <v>0.27083333333333298</v>
      </c>
      <c r="E8" s="3">
        <v>0.33333333333333298</v>
      </c>
      <c r="F8" s="2" t="s">
        <v>15</v>
      </c>
      <c r="G8" s="2" t="s">
        <v>28</v>
      </c>
      <c r="H8" s="2">
        <v>4.5999999999999996</v>
      </c>
      <c r="I8" s="2" t="s">
        <v>32</v>
      </c>
      <c r="J8" s="2" t="s">
        <v>33</v>
      </c>
      <c r="K8" s="2"/>
      <c r="L8" s="2" t="str">
        <f>IFERROR(VLOOKUP(IFERROR(VLOOKUP(C8,'Destination Alias'!$A:$B,2,FALSE()),C8),'Best Months'!$A:$B,2,FALSE()),"Not listed")</f>
        <v>May–Sep</v>
      </c>
    </row>
    <row r="9" spans="1:12" x14ac:dyDescent="0.3">
      <c r="A9" s="2" t="s">
        <v>31</v>
      </c>
      <c r="B9" s="2" t="s">
        <v>22</v>
      </c>
      <c r="C9" s="2" t="s">
        <v>27</v>
      </c>
      <c r="D9" s="3">
        <v>0.33333333333333298</v>
      </c>
      <c r="E9" s="3">
        <v>0.39583333333333298</v>
      </c>
      <c r="F9" s="2" t="s">
        <v>15</v>
      </c>
      <c r="G9" s="2" t="s">
        <v>16</v>
      </c>
      <c r="H9" s="2">
        <v>4.5999999999999996</v>
      </c>
      <c r="I9" s="2" t="s">
        <v>32</v>
      </c>
      <c r="J9" s="2" t="s">
        <v>33</v>
      </c>
      <c r="K9" s="2"/>
      <c r="L9" s="2" t="str">
        <f>IFERROR(VLOOKUP(IFERROR(VLOOKUP(C9,'Destination Alias'!$A:$B,2,FALSE()),C9),'Best Months'!$A:$B,2,FALSE()),"Not listed")</f>
        <v>May–Sep</v>
      </c>
    </row>
    <row r="10" spans="1:12" x14ac:dyDescent="0.3">
      <c r="A10" s="2" t="s">
        <v>34</v>
      </c>
      <c r="B10" s="2" t="s">
        <v>22</v>
      </c>
      <c r="C10" s="2" t="s">
        <v>23</v>
      </c>
      <c r="D10" s="3">
        <v>0.27083333333333298</v>
      </c>
      <c r="E10" s="3">
        <v>0.3125</v>
      </c>
      <c r="F10" s="2" t="s">
        <v>35</v>
      </c>
      <c r="G10" s="2" t="s">
        <v>28</v>
      </c>
      <c r="H10" s="2">
        <v>4.5999999999999996</v>
      </c>
      <c r="I10" s="2" t="s">
        <v>36</v>
      </c>
      <c r="J10" s="2" t="s">
        <v>37</v>
      </c>
      <c r="K10" s="2"/>
      <c r="L10" s="2" t="str">
        <f>IFERROR(VLOOKUP(IFERROR(VLOOKUP(C10,'Destination Alias'!$A:$B,2,FALSE()),C10),'Best Months'!$A:$B,2,FALSE()),"Not listed")</f>
        <v>Dec–Mar</v>
      </c>
    </row>
    <row r="11" spans="1:12" x14ac:dyDescent="0.3">
      <c r="A11" s="2" t="s">
        <v>34</v>
      </c>
      <c r="B11" s="2" t="s">
        <v>22</v>
      </c>
      <c r="C11" s="2" t="s">
        <v>23</v>
      </c>
      <c r="D11" s="3">
        <v>0.3125</v>
      </c>
      <c r="E11" s="3">
        <v>0.35416666666666702</v>
      </c>
      <c r="F11" s="2" t="s">
        <v>35</v>
      </c>
      <c r="G11" s="2" t="s">
        <v>38</v>
      </c>
      <c r="H11" s="2">
        <v>4.5999999999999996</v>
      </c>
      <c r="I11" s="2" t="s">
        <v>36</v>
      </c>
      <c r="J11" s="2" t="s">
        <v>37</v>
      </c>
      <c r="K11" s="2"/>
      <c r="L11" s="2" t="str">
        <f>IFERROR(VLOOKUP(IFERROR(VLOOKUP(C11,'Destination Alias'!$A:$B,2,FALSE()),C11),'Best Months'!$A:$B,2,FALSE()),"Not listed")</f>
        <v>Dec–Mar</v>
      </c>
    </row>
    <row r="12" spans="1:12" x14ac:dyDescent="0.3">
      <c r="A12" s="2" t="s">
        <v>34</v>
      </c>
      <c r="B12" s="2" t="s">
        <v>22</v>
      </c>
      <c r="C12" s="2" t="s">
        <v>23</v>
      </c>
      <c r="D12" s="3">
        <v>0.35416666666666702</v>
      </c>
      <c r="E12" s="3">
        <v>0.39583333333333298</v>
      </c>
      <c r="F12" s="2" t="s">
        <v>35</v>
      </c>
      <c r="G12" s="2" t="s">
        <v>16</v>
      </c>
      <c r="H12" s="2">
        <v>4.5999999999999996</v>
      </c>
      <c r="I12" s="2" t="s">
        <v>36</v>
      </c>
      <c r="J12" s="2" t="s">
        <v>37</v>
      </c>
      <c r="K12" s="2"/>
      <c r="L12" s="2" t="str">
        <f>IFERROR(VLOOKUP(IFERROR(VLOOKUP(C12,'Destination Alias'!$A:$B,2,FALSE()),C12),'Best Months'!$A:$B,2,FALSE()),"Not listed")</f>
        <v>Dec–Mar</v>
      </c>
    </row>
    <row r="13" spans="1:12" x14ac:dyDescent="0.3">
      <c r="A13" s="2" t="s">
        <v>39</v>
      </c>
      <c r="B13" s="2" t="s">
        <v>13</v>
      </c>
      <c r="C13" s="2" t="s">
        <v>40</v>
      </c>
      <c r="D13" s="3">
        <v>0.33333333333333298</v>
      </c>
      <c r="E13" s="3">
        <v>0.39583333333333298</v>
      </c>
      <c r="F13" s="2" t="s">
        <v>15</v>
      </c>
      <c r="G13" s="2" t="s">
        <v>16</v>
      </c>
      <c r="H13" s="2">
        <v>4.0999999999999996</v>
      </c>
      <c r="I13" s="2" t="s">
        <v>17</v>
      </c>
      <c r="J13" s="2" t="s">
        <v>41</v>
      </c>
      <c r="K13" s="2" t="s">
        <v>42</v>
      </c>
      <c r="L13" s="2" t="str">
        <f>IFERROR(VLOOKUP(IFERROR(VLOOKUP(C13,'Destination Alias'!$A:$B,2,FALSE()),C13),'Best Months'!$A:$B,2,FALSE()),"Not listed")</f>
        <v>Jan–Mar, Jul–Aug</v>
      </c>
    </row>
    <row r="14" spans="1:12" x14ac:dyDescent="0.3">
      <c r="A14" s="2" t="s">
        <v>39</v>
      </c>
      <c r="B14" s="2" t="s">
        <v>13</v>
      </c>
      <c r="C14" s="2" t="s">
        <v>40</v>
      </c>
      <c r="D14" s="3">
        <v>0.39583333333333298</v>
      </c>
      <c r="E14" s="3">
        <v>0.45833333333333298</v>
      </c>
      <c r="F14" s="2" t="s">
        <v>15</v>
      </c>
      <c r="G14" s="2" t="s">
        <v>20</v>
      </c>
      <c r="H14" s="2">
        <v>4.0999999999999996</v>
      </c>
      <c r="I14" s="2" t="s">
        <v>17</v>
      </c>
      <c r="J14" s="2" t="s">
        <v>41</v>
      </c>
      <c r="K14" s="2" t="s">
        <v>42</v>
      </c>
      <c r="L14" s="2" t="str">
        <f>IFERROR(VLOOKUP(IFERROR(VLOOKUP(C14,'Destination Alias'!$A:$B,2,FALSE()),C14),'Best Months'!$A:$B,2,FALSE()),"Not listed")</f>
        <v>Jan–Mar, Jul–Aug</v>
      </c>
    </row>
    <row r="15" spans="1:12" x14ac:dyDescent="0.3">
      <c r="A15" s="2" t="s">
        <v>43</v>
      </c>
      <c r="B15" s="2" t="s">
        <v>22</v>
      </c>
      <c r="C15" s="2" t="s">
        <v>44</v>
      </c>
      <c r="D15" s="3">
        <v>0.29166666666666702</v>
      </c>
      <c r="E15" s="3">
        <v>0.35416666666666702</v>
      </c>
      <c r="F15" s="2" t="s">
        <v>15</v>
      </c>
      <c r="G15" s="2" t="s">
        <v>38</v>
      </c>
      <c r="H15" s="2">
        <v>4.5999999999999996</v>
      </c>
      <c r="I15" s="2" t="s">
        <v>45</v>
      </c>
      <c r="J15" s="2" t="s">
        <v>46</v>
      </c>
      <c r="K15" s="2" t="s">
        <v>47</v>
      </c>
      <c r="L15" s="2" t="str">
        <f>IFERROR(VLOOKUP(IFERROR(VLOOKUP(C15,'Destination Alias'!$A:$B,2,FALSE()),C15),'Best Months'!$A:$B,2,FALSE()),"Not listed")</f>
        <v>Jan–Mar, Jul–Sep</v>
      </c>
    </row>
    <row r="16" spans="1:12" x14ac:dyDescent="0.3">
      <c r="A16" s="2" t="s">
        <v>43</v>
      </c>
      <c r="B16" s="2" t="s">
        <v>22</v>
      </c>
      <c r="C16" s="2" t="s">
        <v>44</v>
      </c>
      <c r="D16" s="3">
        <v>0.35416666666666702</v>
      </c>
      <c r="E16" s="3">
        <v>0.41666666666666702</v>
      </c>
      <c r="F16" s="2" t="s">
        <v>15</v>
      </c>
      <c r="G16" s="2" t="s">
        <v>16</v>
      </c>
      <c r="H16" s="2">
        <v>4.5999999999999996</v>
      </c>
      <c r="I16" s="2" t="s">
        <v>45</v>
      </c>
      <c r="J16" s="2" t="s">
        <v>46</v>
      </c>
      <c r="K16" s="2" t="s">
        <v>47</v>
      </c>
      <c r="L16" s="2" t="str">
        <f>IFERROR(VLOOKUP(IFERROR(VLOOKUP(C16,'Destination Alias'!$A:$B,2,FALSE()),C16),'Best Months'!$A:$B,2,FALSE()),"Not listed")</f>
        <v>Jan–Mar, Jul–Sep</v>
      </c>
    </row>
    <row r="17" spans="1:19" x14ac:dyDescent="0.3">
      <c r="A17" s="2" t="s">
        <v>48</v>
      </c>
      <c r="B17" s="2" t="s">
        <v>49</v>
      </c>
      <c r="C17" s="2" t="s">
        <v>50</v>
      </c>
      <c r="D17" s="3">
        <v>0.72916666666666696</v>
      </c>
      <c r="E17" s="3">
        <v>0.8125</v>
      </c>
      <c r="F17" s="2" t="s">
        <v>51</v>
      </c>
      <c r="G17" s="2" t="s">
        <v>52</v>
      </c>
      <c r="H17" s="2">
        <v>4.3</v>
      </c>
      <c r="I17" s="2" t="s">
        <v>53</v>
      </c>
      <c r="J17" s="2" t="s">
        <v>54</v>
      </c>
      <c r="K17" s="2"/>
      <c r="L17" s="2" t="str">
        <f>IFERROR(VLOOKUP(IFERROR(VLOOKUP(C17,'Destination Alias'!$A:$B,2,FALSE()),C17),'Best Months'!$A:$B,2,FALSE()),"Not listed")</f>
        <v>Dec–Mar</v>
      </c>
    </row>
    <row r="18" spans="1:19" x14ac:dyDescent="0.3">
      <c r="A18" s="2" t="s">
        <v>55</v>
      </c>
      <c r="B18" s="2" t="s">
        <v>22</v>
      </c>
      <c r="C18" s="2" t="s">
        <v>23</v>
      </c>
      <c r="D18" s="3">
        <v>0.27083333333333298</v>
      </c>
      <c r="E18" s="3">
        <v>0.3125</v>
      </c>
      <c r="F18" s="2" t="s">
        <v>35</v>
      </c>
      <c r="G18" s="2" t="s">
        <v>28</v>
      </c>
      <c r="H18" s="2">
        <v>4.5999999999999996</v>
      </c>
      <c r="I18" s="2" t="s">
        <v>56</v>
      </c>
      <c r="J18" s="2" t="s">
        <v>57</v>
      </c>
      <c r="K18" s="4" t="s">
        <v>58</v>
      </c>
      <c r="L18" s="2" t="str">
        <f>IFERROR(VLOOKUP(IFERROR(VLOOKUP(C18,'Destination Alias'!$A:$B,2,FALSE()),C18),'Best Months'!$A:$B,2,FALSE()),"Not listed")</f>
        <v>Dec–Mar</v>
      </c>
      <c r="S18" t="s">
        <v>58</v>
      </c>
    </row>
    <row r="19" spans="1:19" x14ac:dyDescent="0.3">
      <c r="A19" s="2" t="s">
        <v>55</v>
      </c>
      <c r="B19" s="2" t="s">
        <v>22</v>
      </c>
      <c r="C19" s="2" t="s">
        <v>23</v>
      </c>
      <c r="D19" s="3">
        <v>0.3125</v>
      </c>
      <c r="E19" s="3">
        <v>0.35416666666666702</v>
      </c>
      <c r="F19" s="2" t="s">
        <v>35</v>
      </c>
      <c r="G19" s="2" t="s">
        <v>38</v>
      </c>
      <c r="H19" s="2">
        <v>4.5999999999999996</v>
      </c>
      <c r="I19" s="2" t="s">
        <v>56</v>
      </c>
      <c r="J19" s="2" t="s">
        <v>57</v>
      </c>
      <c r="K19" s="4" t="s">
        <v>58</v>
      </c>
      <c r="L19" s="2" t="str">
        <f>IFERROR(VLOOKUP(IFERROR(VLOOKUP(C19,'Destination Alias'!$A:$B,2,FALSE()),C19),'Best Months'!$A:$B,2,FALSE()),"Not listed")</f>
        <v>Dec–Mar</v>
      </c>
      <c r="S19" t="s">
        <v>58</v>
      </c>
    </row>
    <row r="20" spans="1:19" x14ac:dyDescent="0.3">
      <c r="A20" s="2" t="s">
        <v>55</v>
      </c>
      <c r="B20" s="2" t="s">
        <v>22</v>
      </c>
      <c r="C20" s="2" t="s">
        <v>23</v>
      </c>
      <c r="D20" s="3">
        <v>0.35416666666666702</v>
      </c>
      <c r="E20" s="3">
        <v>0.39583333333333298</v>
      </c>
      <c r="F20" s="2" t="s">
        <v>35</v>
      </c>
      <c r="G20" s="2" t="s">
        <v>16</v>
      </c>
      <c r="H20" s="2">
        <v>4.5999999999999996</v>
      </c>
      <c r="I20" s="2" t="s">
        <v>56</v>
      </c>
      <c r="J20" s="2" t="s">
        <v>57</v>
      </c>
      <c r="K20" s="4" t="s">
        <v>58</v>
      </c>
      <c r="L20" s="2" t="str">
        <f>IFERROR(VLOOKUP(IFERROR(VLOOKUP(C20,'Destination Alias'!$A:$B,2,FALSE()),C20),'Best Months'!$A:$B,2,FALSE()),"Not listed")</f>
        <v>Dec–Mar</v>
      </c>
      <c r="S20" t="s">
        <v>58</v>
      </c>
    </row>
    <row r="21" spans="1:19" x14ac:dyDescent="0.3">
      <c r="A21" s="2" t="s">
        <v>59</v>
      </c>
      <c r="B21" s="2" t="s">
        <v>13</v>
      </c>
      <c r="C21" s="2" t="s">
        <v>60</v>
      </c>
      <c r="D21" s="3">
        <v>0.33333333333333298</v>
      </c>
      <c r="E21" s="3">
        <v>0.45833333333333298</v>
      </c>
      <c r="F21" s="2" t="s">
        <v>61</v>
      </c>
      <c r="G21" s="2" t="s">
        <v>16</v>
      </c>
      <c r="H21" s="2">
        <v>4</v>
      </c>
      <c r="I21" s="2" t="s">
        <v>62</v>
      </c>
      <c r="J21" s="2" t="s">
        <v>63</v>
      </c>
      <c r="K21" s="2"/>
      <c r="L21" s="2" t="str">
        <f>IFERROR(VLOOKUP(IFERROR(VLOOKUP(C21,'Destination Alias'!$A:$B,2,FALSE()),C21),'Best Months'!$A:$B,2,FALSE()),"Not listed")</f>
        <v>Jan–Mar</v>
      </c>
    </row>
    <row r="22" spans="1:19" x14ac:dyDescent="0.3">
      <c r="A22" s="2" t="s">
        <v>64</v>
      </c>
      <c r="B22" s="2" t="s">
        <v>13</v>
      </c>
      <c r="C22" s="2" t="s">
        <v>65</v>
      </c>
      <c r="D22" s="3">
        <v>0.33333333333333298</v>
      </c>
      <c r="E22" s="3">
        <v>0.39583333333333298</v>
      </c>
      <c r="F22" s="2" t="s">
        <v>15</v>
      </c>
      <c r="G22" s="2" t="s">
        <v>16</v>
      </c>
      <c r="H22" s="2">
        <v>4</v>
      </c>
      <c r="I22" s="2" t="s">
        <v>17</v>
      </c>
      <c r="J22" s="2" t="s">
        <v>66</v>
      </c>
      <c r="K22" s="4" t="s">
        <v>67</v>
      </c>
      <c r="L22" s="2" t="str">
        <f>IFERROR(VLOOKUP(IFERROR(VLOOKUP(C22,'Destination Alias'!$A:$B,2,FALSE()),C22),'Best Months'!$A:$B,2,FALSE()),"Not listed")</f>
        <v>Dec–Mar</v>
      </c>
      <c r="S22" t="s">
        <v>67</v>
      </c>
    </row>
    <row r="23" spans="1:19" x14ac:dyDescent="0.3">
      <c r="A23" s="2" t="s">
        <v>64</v>
      </c>
      <c r="B23" s="2" t="s">
        <v>13</v>
      </c>
      <c r="C23" s="2" t="s">
        <v>65</v>
      </c>
      <c r="D23" s="3">
        <v>0.39583333333333298</v>
      </c>
      <c r="E23" s="3">
        <v>0.45833333333333298</v>
      </c>
      <c r="F23" s="2" t="s">
        <v>15</v>
      </c>
      <c r="G23" s="2" t="s">
        <v>20</v>
      </c>
      <c r="H23" s="2">
        <v>4</v>
      </c>
      <c r="I23" s="2" t="s">
        <v>17</v>
      </c>
      <c r="J23" s="2" t="s">
        <v>66</v>
      </c>
      <c r="K23" s="4" t="s">
        <v>67</v>
      </c>
      <c r="L23" s="2" t="str">
        <f>IFERROR(VLOOKUP(IFERROR(VLOOKUP(C23,'Destination Alias'!$A:$B,2,FALSE()),C23),'Best Months'!$A:$B,2,FALSE()),"Not listed")</f>
        <v>Dec–Mar</v>
      </c>
      <c r="S23" t="s">
        <v>67</v>
      </c>
    </row>
    <row r="24" spans="1:19" x14ac:dyDescent="0.3">
      <c r="A24" s="2" t="s">
        <v>68</v>
      </c>
      <c r="B24" s="2" t="s">
        <v>22</v>
      </c>
      <c r="C24" s="2" t="s">
        <v>44</v>
      </c>
      <c r="D24" s="3">
        <v>0.27083333333333298</v>
      </c>
      <c r="E24" s="3">
        <v>0.3125</v>
      </c>
      <c r="F24" s="2" t="s">
        <v>35</v>
      </c>
      <c r="G24" s="2" t="s">
        <v>28</v>
      </c>
      <c r="H24" s="2">
        <v>4.5999999999999996</v>
      </c>
      <c r="I24" s="2" t="s">
        <v>69</v>
      </c>
      <c r="J24" s="2" t="s">
        <v>70</v>
      </c>
      <c r="K24" s="4" t="s">
        <v>71</v>
      </c>
      <c r="L24" s="2" t="str">
        <f>IFERROR(VLOOKUP(IFERROR(VLOOKUP(C24,'Destination Alias'!$A:$B,2,FALSE()),C24),'Best Months'!$A:$B,2,FALSE()),"Not listed")</f>
        <v>Jan–Mar, Jul–Sep</v>
      </c>
      <c r="S24" t="s">
        <v>71</v>
      </c>
    </row>
    <row r="25" spans="1:19" x14ac:dyDescent="0.3">
      <c r="A25" s="2" t="s">
        <v>68</v>
      </c>
      <c r="B25" s="2" t="s">
        <v>22</v>
      </c>
      <c r="C25" s="2" t="s">
        <v>44</v>
      </c>
      <c r="D25" s="3">
        <v>0.3125</v>
      </c>
      <c r="E25" s="3">
        <v>0.35416666666666702</v>
      </c>
      <c r="F25" s="2" t="s">
        <v>35</v>
      </c>
      <c r="G25" s="2" t="s">
        <v>38</v>
      </c>
      <c r="H25" s="2">
        <v>4.5999999999999996</v>
      </c>
      <c r="I25" s="2" t="s">
        <v>69</v>
      </c>
      <c r="J25" s="2" t="s">
        <v>70</v>
      </c>
      <c r="K25" s="4" t="s">
        <v>71</v>
      </c>
      <c r="L25" s="2" t="str">
        <f>IFERROR(VLOOKUP(IFERROR(VLOOKUP(C25,'Destination Alias'!$A:$B,2,FALSE()),C25),'Best Months'!$A:$B,2,FALSE()),"Not listed")</f>
        <v>Jan–Mar, Jul–Sep</v>
      </c>
      <c r="S25" t="s">
        <v>71</v>
      </c>
    </row>
    <row r="26" spans="1:19" x14ac:dyDescent="0.3">
      <c r="A26" s="2" t="s">
        <v>68</v>
      </c>
      <c r="B26" s="2" t="s">
        <v>22</v>
      </c>
      <c r="C26" s="2" t="s">
        <v>44</v>
      </c>
      <c r="D26" s="3">
        <v>0.35416666666666702</v>
      </c>
      <c r="E26" s="3">
        <v>0.39583333333333298</v>
      </c>
      <c r="F26" s="2" t="s">
        <v>35</v>
      </c>
      <c r="G26" s="2" t="s">
        <v>16</v>
      </c>
      <c r="H26" s="2">
        <v>4.5999999999999996</v>
      </c>
      <c r="I26" s="2" t="s">
        <v>69</v>
      </c>
      <c r="J26" s="2" t="s">
        <v>70</v>
      </c>
      <c r="K26" s="4" t="s">
        <v>71</v>
      </c>
      <c r="L26" s="2" t="str">
        <f>IFERROR(VLOOKUP(IFERROR(VLOOKUP(C26,'Destination Alias'!$A:$B,2,FALSE()),C26),'Best Months'!$A:$B,2,FALSE()),"Not listed")</f>
        <v>Jan–Mar, Jul–Sep</v>
      </c>
      <c r="S26" t="s">
        <v>71</v>
      </c>
    </row>
    <row r="27" spans="1:19" x14ac:dyDescent="0.3">
      <c r="A27" s="2" t="s">
        <v>72</v>
      </c>
      <c r="B27" s="2" t="s">
        <v>22</v>
      </c>
      <c r="C27" s="2" t="s">
        <v>44</v>
      </c>
      <c r="D27" s="3">
        <v>0.6875</v>
      </c>
      <c r="E27" s="3">
        <v>0.75</v>
      </c>
      <c r="F27" s="2" t="s">
        <v>15</v>
      </c>
      <c r="G27" s="2" t="s">
        <v>73</v>
      </c>
      <c r="H27" s="2">
        <v>4.5999999999999996</v>
      </c>
      <c r="I27" s="2" t="s">
        <v>74</v>
      </c>
      <c r="J27" s="2" t="s">
        <v>75</v>
      </c>
      <c r="K27" s="4" t="s">
        <v>76</v>
      </c>
      <c r="L27" s="2" t="str">
        <f>IFERROR(VLOOKUP(IFERROR(VLOOKUP(C27,'Destination Alias'!$A:$B,2,FALSE()),C27),'Best Months'!$A:$B,2,FALSE()),"Not listed")</f>
        <v>Jan–Mar, Jul–Sep</v>
      </c>
      <c r="S27" t="s">
        <v>76</v>
      </c>
    </row>
    <row r="28" spans="1:19" x14ac:dyDescent="0.3">
      <c r="A28" s="2" t="s">
        <v>77</v>
      </c>
      <c r="B28" s="2" t="s">
        <v>22</v>
      </c>
      <c r="C28" s="2" t="s">
        <v>23</v>
      </c>
      <c r="D28" s="3">
        <v>0.27083333333333298</v>
      </c>
      <c r="E28" s="3">
        <v>0.33333333333333298</v>
      </c>
      <c r="F28" s="2" t="s">
        <v>15</v>
      </c>
      <c r="G28" s="2" t="s">
        <v>28</v>
      </c>
      <c r="H28" s="2">
        <v>4.5999999999999996</v>
      </c>
      <c r="I28" s="2" t="s">
        <v>78</v>
      </c>
      <c r="J28" s="2" t="s">
        <v>79</v>
      </c>
      <c r="K28" s="2"/>
      <c r="L28" s="2" t="str">
        <f>IFERROR(VLOOKUP(IFERROR(VLOOKUP(C28,'Destination Alias'!$A:$B,2,FALSE()),C28),'Best Months'!$A:$B,2,FALSE()),"Not listed")</f>
        <v>Dec–Mar</v>
      </c>
    </row>
    <row r="29" spans="1:19" x14ac:dyDescent="0.3">
      <c r="A29" s="2" t="s">
        <v>77</v>
      </c>
      <c r="B29" s="2" t="s">
        <v>22</v>
      </c>
      <c r="C29" s="2" t="s">
        <v>23</v>
      </c>
      <c r="D29" s="3">
        <v>0.33333333333333298</v>
      </c>
      <c r="E29" s="3">
        <v>0.39583333333333298</v>
      </c>
      <c r="F29" s="2" t="s">
        <v>15</v>
      </c>
      <c r="G29" s="2" t="s">
        <v>16</v>
      </c>
      <c r="H29" s="2">
        <v>4.5999999999999996</v>
      </c>
      <c r="I29" s="2" t="s">
        <v>78</v>
      </c>
      <c r="J29" s="2" t="s">
        <v>79</v>
      </c>
      <c r="K29" s="2"/>
      <c r="L29" s="2" t="str">
        <f>IFERROR(VLOOKUP(IFERROR(VLOOKUP(C29,'Destination Alias'!$A:$B,2,FALSE()),C29),'Best Months'!$A:$B,2,FALSE()),"Not listed")</f>
        <v>Dec–Mar</v>
      </c>
    </row>
    <row r="30" spans="1:19" x14ac:dyDescent="0.3">
      <c r="A30" s="2" t="s">
        <v>80</v>
      </c>
      <c r="B30" s="2" t="s">
        <v>81</v>
      </c>
      <c r="C30" s="2" t="s">
        <v>50</v>
      </c>
      <c r="D30" s="3">
        <v>0.25</v>
      </c>
      <c r="E30" s="3">
        <v>0.33333333333333298</v>
      </c>
      <c r="F30" s="2" t="s">
        <v>51</v>
      </c>
      <c r="G30" s="2" t="s">
        <v>28</v>
      </c>
      <c r="H30" s="2">
        <v>4.0999999999999996</v>
      </c>
      <c r="I30" s="2" t="s">
        <v>82</v>
      </c>
      <c r="J30" s="2" t="s">
        <v>83</v>
      </c>
      <c r="K30" s="4" t="s">
        <v>84</v>
      </c>
      <c r="L30" s="2" t="str">
        <f>IFERROR(VLOOKUP(IFERROR(VLOOKUP(C30,'Destination Alias'!$A:$B,2,FALSE()),C30),'Best Months'!$A:$B,2,FALSE()),"Not listed")</f>
        <v>Dec–Mar</v>
      </c>
      <c r="S30" t="s">
        <v>84</v>
      </c>
    </row>
    <row r="31" spans="1:19" x14ac:dyDescent="0.3">
      <c r="A31" s="2" t="s">
        <v>85</v>
      </c>
      <c r="B31" s="2" t="s">
        <v>22</v>
      </c>
      <c r="C31" s="2" t="s">
        <v>86</v>
      </c>
      <c r="D31" s="3">
        <v>0.27083333333333298</v>
      </c>
      <c r="E31" s="3">
        <v>0.3125</v>
      </c>
      <c r="F31" s="2" t="s">
        <v>35</v>
      </c>
      <c r="G31" s="2" t="s">
        <v>28</v>
      </c>
      <c r="H31" s="2">
        <v>4.3</v>
      </c>
      <c r="I31" s="2" t="s">
        <v>87</v>
      </c>
      <c r="J31" s="2" t="s">
        <v>88</v>
      </c>
      <c r="K31" s="2"/>
      <c r="L31" s="2" t="str">
        <f>IFERROR(VLOOKUP(IFERROR(VLOOKUP(C31,'Destination Alias'!$A:$B,2,FALSE()),C31),'Best Months'!$A:$B,2,FALSE()),"Not listed")</f>
        <v>Jan–Mar, Jul–Sep</v>
      </c>
    </row>
    <row r="32" spans="1:19" x14ac:dyDescent="0.3">
      <c r="A32" s="2" t="s">
        <v>85</v>
      </c>
      <c r="B32" s="2" t="s">
        <v>22</v>
      </c>
      <c r="C32" s="2" t="s">
        <v>86</v>
      </c>
      <c r="D32" s="3">
        <v>0.3125</v>
      </c>
      <c r="E32" s="3">
        <v>0.35416666666666702</v>
      </c>
      <c r="F32" s="2" t="s">
        <v>35</v>
      </c>
      <c r="G32" s="2" t="s">
        <v>38</v>
      </c>
      <c r="H32" s="2">
        <v>4.3</v>
      </c>
      <c r="I32" s="2" t="s">
        <v>87</v>
      </c>
      <c r="J32" s="2" t="s">
        <v>88</v>
      </c>
      <c r="K32" s="2"/>
      <c r="L32" s="2" t="str">
        <f>IFERROR(VLOOKUP(IFERROR(VLOOKUP(C32,'Destination Alias'!$A:$B,2,FALSE()),C32),'Best Months'!$A:$B,2,FALSE()),"Not listed")</f>
        <v>Jan–Mar, Jul–Sep</v>
      </c>
    </row>
    <row r="33" spans="1:19" x14ac:dyDescent="0.3">
      <c r="A33" s="2" t="s">
        <v>89</v>
      </c>
      <c r="B33" s="2" t="s">
        <v>49</v>
      </c>
      <c r="C33" s="2" t="s">
        <v>40</v>
      </c>
      <c r="D33" s="3">
        <v>0.27083333333333298</v>
      </c>
      <c r="E33" s="3">
        <v>0.30208333333333298</v>
      </c>
      <c r="F33" s="2" t="s">
        <v>90</v>
      </c>
      <c r="G33" s="2" t="s">
        <v>28</v>
      </c>
      <c r="H33" s="2">
        <v>4.5</v>
      </c>
      <c r="I33" s="2" t="s">
        <v>91</v>
      </c>
      <c r="J33" s="2" t="s">
        <v>92</v>
      </c>
      <c r="K33" s="4" t="s">
        <v>93</v>
      </c>
      <c r="L33" s="2" t="str">
        <f>IFERROR(VLOOKUP(IFERROR(VLOOKUP(C33,'Destination Alias'!$A:$B,2,FALSE()),C33),'Best Months'!$A:$B,2,FALSE()),"Not listed")</f>
        <v>Jan–Mar, Jul–Aug</v>
      </c>
      <c r="S33" t="s">
        <v>93</v>
      </c>
    </row>
    <row r="34" spans="1:19" x14ac:dyDescent="0.3">
      <c r="A34" s="2" t="s">
        <v>89</v>
      </c>
      <c r="B34" s="2" t="s">
        <v>49</v>
      </c>
      <c r="C34" s="2" t="s">
        <v>40</v>
      </c>
      <c r="D34" s="3">
        <v>0.30208333333333298</v>
      </c>
      <c r="E34" s="3">
        <v>0.33333333333333298</v>
      </c>
      <c r="F34" s="2" t="s">
        <v>90</v>
      </c>
      <c r="G34" s="2" t="s">
        <v>38</v>
      </c>
      <c r="H34" s="2">
        <v>4.5</v>
      </c>
      <c r="I34" s="2" t="s">
        <v>91</v>
      </c>
      <c r="J34" s="2" t="s">
        <v>92</v>
      </c>
      <c r="K34" s="4" t="s">
        <v>93</v>
      </c>
      <c r="L34" s="2" t="str">
        <f>IFERROR(VLOOKUP(IFERROR(VLOOKUP(C34,'Destination Alias'!$A:$B,2,FALSE()),C34),'Best Months'!$A:$B,2,FALSE()),"Not listed")</f>
        <v>Jan–Mar, Jul–Aug</v>
      </c>
      <c r="S34" t="s">
        <v>93</v>
      </c>
    </row>
    <row r="35" spans="1:19" x14ac:dyDescent="0.3">
      <c r="A35" s="2" t="s">
        <v>89</v>
      </c>
      <c r="B35" s="2" t="s">
        <v>49</v>
      </c>
      <c r="C35" s="2" t="s">
        <v>40</v>
      </c>
      <c r="D35" s="3">
        <v>0.33333333333333298</v>
      </c>
      <c r="E35" s="3">
        <v>0.36458333333333298</v>
      </c>
      <c r="F35" s="2" t="s">
        <v>90</v>
      </c>
      <c r="G35" s="2" t="s">
        <v>16</v>
      </c>
      <c r="H35" s="2">
        <v>4.5</v>
      </c>
      <c r="I35" s="2" t="s">
        <v>91</v>
      </c>
      <c r="J35" s="2" t="s">
        <v>92</v>
      </c>
      <c r="K35" s="4" t="s">
        <v>93</v>
      </c>
      <c r="L35" s="2" t="str">
        <f>IFERROR(VLOOKUP(IFERROR(VLOOKUP(C35,'Destination Alias'!$A:$B,2,FALSE()),C35),'Best Months'!$A:$B,2,FALSE()),"Not listed")</f>
        <v>Jan–Mar, Jul–Aug</v>
      </c>
      <c r="S35" t="s">
        <v>93</v>
      </c>
    </row>
    <row r="36" spans="1:19" x14ac:dyDescent="0.3">
      <c r="A36" s="2" t="s">
        <v>94</v>
      </c>
      <c r="B36" s="2" t="s">
        <v>22</v>
      </c>
      <c r="C36" s="2" t="s">
        <v>40</v>
      </c>
      <c r="D36" s="3">
        <v>0.33333333333333298</v>
      </c>
      <c r="E36" s="3">
        <v>0.36458333333333298</v>
      </c>
      <c r="F36" s="2" t="s">
        <v>90</v>
      </c>
      <c r="G36" s="2" t="s">
        <v>16</v>
      </c>
      <c r="H36" s="2">
        <v>4.5</v>
      </c>
      <c r="I36" s="2" t="s">
        <v>95</v>
      </c>
      <c r="J36" s="2" t="s">
        <v>96</v>
      </c>
      <c r="K36" s="4" t="s">
        <v>97</v>
      </c>
      <c r="L36" s="2" t="str">
        <f>IFERROR(VLOOKUP(IFERROR(VLOOKUP(C36,'Destination Alias'!$A:$B,2,FALSE()),C36),'Best Months'!$A:$B,2,FALSE()),"Not listed")</f>
        <v>Jan–Mar, Jul–Aug</v>
      </c>
      <c r="S36" t="s">
        <v>97</v>
      </c>
    </row>
    <row r="37" spans="1:19" x14ac:dyDescent="0.3">
      <c r="A37" s="2" t="s">
        <v>94</v>
      </c>
      <c r="B37" s="2" t="s">
        <v>22</v>
      </c>
      <c r="C37" s="2" t="s">
        <v>40</v>
      </c>
      <c r="D37" s="3">
        <v>0.36458333333333298</v>
      </c>
      <c r="E37" s="3">
        <v>0.39583333333333298</v>
      </c>
      <c r="F37" s="2" t="s">
        <v>90</v>
      </c>
      <c r="G37" s="2" t="s">
        <v>16</v>
      </c>
      <c r="H37" s="2">
        <v>4.5</v>
      </c>
      <c r="I37" s="2" t="s">
        <v>95</v>
      </c>
      <c r="J37" s="2" t="s">
        <v>96</v>
      </c>
      <c r="K37" s="4" t="s">
        <v>97</v>
      </c>
      <c r="L37" s="2" t="str">
        <f>IFERROR(VLOOKUP(IFERROR(VLOOKUP(C37,'Destination Alias'!$A:$B,2,FALSE()),C37),'Best Months'!$A:$B,2,FALSE()),"Not listed")</f>
        <v>Jan–Mar, Jul–Aug</v>
      </c>
      <c r="S37" t="s">
        <v>97</v>
      </c>
    </row>
    <row r="38" spans="1:19" x14ac:dyDescent="0.3">
      <c r="A38" s="2" t="s">
        <v>98</v>
      </c>
      <c r="B38" s="2" t="s">
        <v>22</v>
      </c>
      <c r="C38" s="2" t="s">
        <v>40</v>
      </c>
      <c r="D38" s="3">
        <v>0.72916666666666696</v>
      </c>
      <c r="E38" s="3">
        <v>0.77083333333333304</v>
      </c>
      <c r="F38" s="2" t="s">
        <v>35</v>
      </c>
      <c r="G38" s="2" t="s">
        <v>52</v>
      </c>
      <c r="H38" s="2">
        <v>4.5</v>
      </c>
      <c r="I38" s="2" t="s">
        <v>99</v>
      </c>
      <c r="J38" s="2" t="s">
        <v>100</v>
      </c>
      <c r="K38" s="4" t="s">
        <v>101</v>
      </c>
      <c r="L38" s="2" t="str">
        <f>IFERROR(VLOOKUP(IFERROR(VLOOKUP(C38,'Destination Alias'!$A:$B,2,FALSE()),C38),'Best Months'!$A:$B,2,FALSE()),"Not listed")</f>
        <v>Jan–Mar, Jul–Aug</v>
      </c>
      <c r="S38" t="s">
        <v>101</v>
      </c>
    </row>
    <row r="39" spans="1:19" x14ac:dyDescent="0.3">
      <c r="A39" s="2" t="s">
        <v>98</v>
      </c>
      <c r="B39" s="2" t="s">
        <v>22</v>
      </c>
      <c r="C39" s="2" t="s">
        <v>40</v>
      </c>
      <c r="D39" s="3">
        <v>0.77083333333333304</v>
      </c>
      <c r="E39" s="3">
        <v>0.8125</v>
      </c>
      <c r="F39" s="2" t="s">
        <v>35</v>
      </c>
      <c r="G39" s="2" t="s">
        <v>102</v>
      </c>
      <c r="H39" s="2">
        <v>4.5</v>
      </c>
      <c r="I39" s="2" t="s">
        <v>99</v>
      </c>
      <c r="J39" s="2" t="s">
        <v>100</v>
      </c>
      <c r="K39" s="4" t="s">
        <v>101</v>
      </c>
      <c r="L39" s="2" t="str">
        <f>IFERROR(VLOOKUP(IFERROR(VLOOKUP(C39,'Destination Alias'!$A:$B,2,FALSE()),C39),'Best Months'!$A:$B,2,FALSE()),"Not listed")</f>
        <v>Jan–Mar, Jul–Aug</v>
      </c>
      <c r="S39" t="s">
        <v>101</v>
      </c>
    </row>
    <row r="40" spans="1:19" x14ac:dyDescent="0.3">
      <c r="A40" s="2" t="s">
        <v>103</v>
      </c>
      <c r="B40" s="2" t="s">
        <v>22</v>
      </c>
      <c r="C40" s="2" t="s">
        <v>104</v>
      </c>
      <c r="D40" s="3">
        <v>0.6875</v>
      </c>
      <c r="E40" s="3">
        <v>0.72916666666666696</v>
      </c>
      <c r="F40" s="2" t="s">
        <v>35</v>
      </c>
      <c r="G40" s="2" t="s">
        <v>73</v>
      </c>
      <c r="H40" s="2">
        <v>4.5</v>
      </c>
      <c r="I40" s="2" t="s">
        <v>105</v>
      </c>
      <c r="J40" s="2" t="s">
        <v>106</v>
      </c>
      <c r="K40" s="2"/>
      <c r="L40" s="2" t="str">
        <f>IFERROR(VLOOKUP(IFERROR(VLOOKUP(C40,'Destination Alias'!$A:$B,2,FALSE()),C40),'Best Months'!$A:$B,2,FALSE()),"Not listed")</f>
        <v>Jan–Mar, Jul–Aug</v>
      </c>
    </row>
    <row r="41" spans="1:19" x14ac:dyDescent="0.3">
      <c r="A41" s="2" t="s">
        <v>103</v>
      </c>
      <c r="B41" s="2" t="s">
        <v>22</v>
      </c>
      <c r="C41" s="2" t="s">
        <v>104</v>
      </c>
      <c r="D41" s="3">
        <v>0.72916666666666696</v>
      </c>
      <c r="E41" s="3">
        <v>0.77083333333333304</v>
      </c>
      <c r="F41" s="2" t="s">
        <v>35</v>
      </c>
      <c r="G41" s="2" t="s">
        <v>52</v>
      </c>
      <c r="H41" s="2">
        <v>4.5</v>
      </c>
      <c r="I41" s="2" t="s">
        <v>105</v>
      </c>
      <c r="J41" s="2" t="s">
        <v>106</v>
      </c>
      <c r="K41" s="2"/>
      <c r="L41" s="2" t="str">
        <f>IFERROR(VLOOKUP(IFERROR(VLOOKUP(C41,'Destination Alias'!$A:$B,2,FALSE()),C41),'Best Months'!$A:$B,2,FALSE()),"Not listed")</f>
        <v>Jan–Mar, Jul–Aug</v>
      </c>
    </row>
    <row r="42" spans="1:19" x14ac:dyDescent="0.3">
      <c r="A42" s="2" t="s">
        <v>107</v>
      </c>
      <c r="B42" s="2" t="s">
        <v>13</v>
      </c>
      <c r="C42" s="2" t="s">
        <v>108</v>
      </c>
      <c r="D42" s="3">
        <v>0.33333333333333298</v>
      </c>
      <c r="E42" s="3">
        <v>0.39583333333333298</v>
      </c>
      <c r="F42" s="2" t="s">
        <v>15</v>
      </c>
      <c r="G42" s="2" t="s">
        <v>16</v>
      </c>
      <c r="H42" s="2">
        <v>4</v>
      </c>
      <c r="I42" s="2" t="s">
        <v>17</v>
      </c>
      <c r="J42" s="2" t="s">
        <v>109</v>
      </c>
      <c r="K42" s="2" t="s">
        <v>110</v>
      </c>
      <c r="L42" s="2" t="str">
        <f>IFERROR(VLOOKUP(IFERROR(VLOOKUP(C42,'Destination Alias'!$A:$B,2,FALSE()),C42),'Best Months'!$A:$B,2,FALSE()),"Not listed")</f>
        <v>Jan–Mar, Jul–Aug</v>
      </c>
    </row>
    <row r="43" spans="1:19" x14ac:dyDescent="0.3">
      <c r="A43" s="2" t="s">
        <v>107</v>
      </c>
      <c r="B43" s="2" t="s">
        <v>13</v>
      </c>
      <c r="C43" s="2" t="s">
        <v>108</v>
      </c>
      <c r="D43" s="3">
        <v>0.39583333333333298</v>
      </c>
      <c r="E43" s="3">
        <v>0.45833333333333298</v>
      </c>
      <c r="F43" s="2" t="s">
        <v>15</v>
      </c>
      <c r="G43" s="2" t="s">
        <v>20</v>
      </c>
      <c r="H43" s="2">
        <v>4</v>
      </c>
      <c r="I43" s="2" t="s">
        <v>17</v>
      </c>
      <c r="J43" s="2" t="s">
        <v>109</v>
      </c>
      <c r="K43" s="2" t="s">
        <v>110</v>
      </c>
      <c r="L43" s="2" t="str">
        <f>IFERROR(VLOOKUP(IFERROR(VLOOKUP(C43,'Destination Alias'!$A:$B,2,FALSE()),C43),'Best Months'!$A:$B,2,FALSE()),"Not listed")</f>
        <v>Jan–Mar, Jul–Aug</v>
      </c>
    </row>
    <row r="44" spans="1:19" x14ac:dyDescent="0.3">
      <c r="A44" s="2" t="s">
        <v>111</v>
      </c>
      <c r="B44" s="2" t="s">
        <v>13</v>
      </c>
      <c r="C44" s="2" t="s">
        <v>108</v>
      </c>
      <c r="D44" s="3">
        <v>0.33333333333333298</v>
      </c>
      <c r="E44" s="3">
        <v>0.375</v>
      </c>
      <c r="F44" s="2" t="s">
        <v>35</v>
      </c>
      <c r="G44" s="2" t="s">
        <v>16</v>
      </c>
      <c r="H44" s="2">
        <v>4.2</v>
      </c>
      <c r="I44" s="2" t="s">
        <v>112</v>
      </c>
      <c r="J44" s="2" t="s">
        <v>113</v>
      </c>
      <c r="K44" s="4" t="s">
        <v>114</v>
      </c>
      <c r="L44" s="2" t="str">
        <f>IFERROR(VLOOKUP(IFERROR(VLOOKUP(C44,'Destination Alias'!$A:$B,2,FALSE()),C44),'Best Months'!$A:$B,2,FALSE()),"Not listed")</f>
        <v>Jan–Mar, Jul–Aug</v>
      </c>
      <c r="S44" t="s">
        <v>114</v>
      </c>
    </row>
    <row r="45" spans="1:19" x14ac:dyDescent="0.3">
      <c r="A45" s="2" t="s">
        <v>111</v>
      </c>
      <c r="B45" s="2" t="s">
        <v>13</v>
      </c>
      <c r="C45" s="2" t="s">
        <v>108</v>
      </c>
      <c r="D45" s="3">
        <v>0.375</v>
      </c>
      <c r="E45" s="3">
        <v>0.41666666666666702</v>
      </c>
      <c r="F45" s="2" t="s">
        <v>35</v>
      </c>
      <c r="G45" s="2" t="s">
        <v>20</v>
      </c>
      <c r="H45" s="2">
        <v>4.2</v>
      </c>
      <c r="I45" s="2" t="s">
        <v>112</v>
      </c>
      <c r="J45" s="2" t="s">
        <v>113</v>
      </c>
      <c r="K45" s="4" t="s">
        <v>114</v>
      </c>
      <c r="L45" s="2" t="str">
        <f>IFERROR(VLOOKUP(IFERROR(VLOOKUP(C45,'Destination Alias'!$A:$B,2,FALSE()),C45),'Best Months'!$A:$B,2,FALSE()),"Not listed")</f>
        <v>Jan–Mar, Jul–Aug</v>
      </c>
      <c r="S45" t="s">
        <v>114</v>
      </c>
    </row>
    <row r="46" spans="1:19" x14ac:dyDescent="0.3">
      <c r="A46" s="2" t="s">
        <v>111</v>
      </c>
      <c r="B46" s="2" t="s">
        <v>13</v>
      </c>
      <c r="C46" s="2" t="s">
        <v>108</v>
      </c>
      <c r="D46" s="3">
        <v>0.41666666666666702</v>
      </c>
      <c r="E46" s="3">
        <v>0.45833333333333298</v>
      </c>
      <c r="F46" s="2" t="s">
        <v>35</v>
      </c>
      <c r="G46" s="2" t="s">
        <v>20</v>
      </c>
      <c r="H46" s="2">
        <v>4.2</v>
      </c>
      <c r="I46" s="2" t="s">
        <v>112</v>
      </c>
      <c r="J46" s="2" t="s">
        <v>113</v>
      </c>
      <c r="K46" s="4" t="s">
        <v>114</v>
      </c>
      <c r="L46" s="2" t="str">
        <f>IFERROR(VLOOKUP(IFERROR(VLOOKUP(C46,'Destination Alias'!$A:$B,2,FALSE()),C46),'Best Months'!$A:$B,2,FALSE()),"Not listed")</f>
        <v>Jan–Mar, Jul–Aug</v>
      </c>
      <c r="S46" t="s">
        <v>114</v>
      </c>
    </row>
    <row r="47" spans="1:19" x14ac:dyDescent="0.3">
      <c r="A47" s="2" t="s">
        <v>115</v>
      </c>
      <c r="B47" s="2" t="s">
        <v>49</v>
      </c>
      <c r="C47" s="2" t="s">
        <v>27</v>
      </c>
      <c r="D47" s="3">
        <v>0.29166666666666702</v>
      </c>
      <c r="E47" s="3">
        <v>0.35416666666666702</v>
      </c>
      <c r="F47" s="2" t="s">
        <v>15</v>
      </c>
      <c r="G47" s="2" t="s">
        <v>38</v>
      </c>
      <c r="H47" s="2">
        <v>4.5</v>
      </c>
      <c r="I47" s="2" t="s">
        <v>116</v>
      </c>
      <c r="J47" s="2" t="s">
        <v>117</v>
      </c>
      <c r="K47" s="2"/>
      <c r="L47" s="2" t="str">
        <f>IFERROR(VLOOKUP(IFERROR(VLOOKUP(C47,'Destination Alias'!$A:$B,2,FALSE()),C47),'Best Months'!$A:$B,2,FALSE()),"Not listed")</f>
        <v>May–Sep</v>
      </c>
    </row>
    <row r="48" spans="1:19" x14ac:dyDescent="0.3">
      <c r="A48" s="2" t="s">
        <v>115</v>
      </c>
      <c r="B48" s="2" t="s">
        <v>49</v>
      </c>
      <c r="C48" s="2" t="s">
        <v>27</v>
      </c>
      <c r="D48" s="3">
        <v>0.35416666666666702</v>
      </c>
      <c r="E48" s="3">
        <v>0.41666666666666702</v>
      </c>
      <c r="F48" s="2" t="s">
        <v>15</v>
      </c>
      <c r="G48" s="2" t="s">
        <v>16</v>
      </c>
      <c r="H48" s="2">
        <v>4.5</v>
      </c>
      <c r="I48" s="2" t="s">
        <v>116</v>
      </c>
      <c r="J48" s="2" t="s">
        <v>117</v>
      </c>
      <c r="K48" s="2"/>
      <c r="L48" s="2" t="str">
        <f>IFERROR(VLOOKUP(IFERROR(VLOOKUP(C48,'Destination Alias'!$A:$B,2,FALSE()),C48),'Best Months'!$A:$B,2,FALSE()),"Not listed")</f>
        <v>May–Sep</v>
      </c>
    </row>
    <row r="49" spans="1:19" x14ac:dyDescent="0.3">
      <c r="A49" s="2" t="s">
        <v>118</v>
      </c>
      <c r="B49" s="2" t="s">
        <v>22</v>
      </c>
      <c r="C49" s="2" t="s">
        <v>119</v>
      </c>
      <c r="D49" s="3">
        <v>0.29166666666666702</v>
      </c>
      <c r="E49" s="3">
        <v>0.33333333333333298</v>
      </c>
      <c r="F49" s="2" t="s">
        <v>35</v>
      </c>
      <c r="G49" s="2" t="s">
        <v>38</v>
      </c>
      <c r="H49" s="2">
        <v>4.5999999999999996</v>
      </c>
      <c r="I49" s="2" t="s">
        <v>120</v>
      </c>
      <c r="J49" s="2" t="s">
        <v>121</v>
      </c>
      <c r="K49" s="2"/>
      <c r="L49" s="2" t="str">
        <f>IFERROR(VLOOKUP(IFERROR(VLOOKUP(C49,'Destination Alias'!$A:$B,2,FALSE()),C49),'Best Months'!$A:$B,2,FALSE()),"Not listed")</f>
        <v>Jan–Mar</v>
      </c>
    </row>
    <row r="50" spans="1:19" x14ac:dyDescent="0.3">
      <c r="A50" s="2" t="s">
        <v>118</v>
      </c>
      <c r="B50" s="2" t="s">
        <v>22</v>
      </c>
      <c r="C50" s="2" t="s">
        <v>119</v>
      </c>
      <c r="D50" s="3">
        <v>0.33333333333333298</v>
      </c>
      <c r="E50" s="3">
        <v>0.375</v>
      </c>
      <c r="F50" s="2" t="s">
        <v>35</v>
      </c>
      <c r="G50" s="2" t="s">
        <v>16</v>
      </c>
      <c r="H50" s="2">
        <v>4.5999999999999996</v>
      </c>
      <c r="I50" s="2" t="s">
        <v>120</v>
      </c>
      <c r="J50" s="2" t="s">
        <v>121</v>
      </c>
      <c r="K50" s="2"/>
      <c r="L50" s="2" t="str">
        <f>IFERROR(VLOOKUP(IFERROR(VLOOKUP(C50,'Destination Alias'!$A:$B,2,FALSE()),C50),'Best Months'!$A:$B,2,FALSE()),"Not listed")</f>
        <v>Jan–Mar</v>
      </c>
    </row>
    <row r="51" spans="1:19" x14ac:dyDescent="0.3">
      <c r="A51" s="2" t="s">
        <v>118</v>
      </c>
      <c r="B51" s="2" t="s">
        <v>22</v>
      </c>
      <c r="C51" s="2" t="s">
        <v>119</v>
      </c>
      <c r="D51" s="3">
        <v>0.375</v>
      </c>
      <c r="E51" s="3">
        <v>0.41666666666666702</v>
      </c>
      <c r="F51" s="2" t="s">
        <v>35</v>
      </c>
      <c r="G51" s="2" t="s">
        <v>20</v>
      </c>
      <c r="H51" s="2">
        <v>4.5999999999999996</v>
      </c>
      <c r="I51" s="2" t="s">
        <v>120</v>
      </c>
      <c r="J51" s="2" t="s">
        <v>121</v>
      </c>
      <c r="K51" s="2"/>
      <c r="L51" s="2" t="str">
        <f>IFERROR(VLOOKUP(IFERROR(VLOOKUP(C51,'Destination Alias'!$A:$B,2,FALSE()),C51),'Best Months'!$A:$B,2,FALSE()),"Not listed")</f>
        <v>Jan–Mar</v>
      </c>
    </row>
    <row r="52" spans="1:19" x14ac:dyDescent="0.3">
      <c r="A52" s="2" t="s">
        <v>122</v>
      </c>
      <c r="B52" s="2" t="s">
        <v>49</v>
      </c>
      <c r="C52" s="2" t="s">
        <v>123</v>
      </c>
      <c r="D52" s="3">
        <v>0.33333333333333298</v>
      </c>
      <c r="E52" s="3">
        <v>0.41666666666666702</v>
      </c>
      <c r="F52" s="2" t="s">
        <v>51</v>
      </c>
      <c r="G52" s="2" t="s">
        <v>16</v>
      </c>
      <c r="H52" s="2">
        <v>4.5</v>
      </c>
      <c r="I52" s="2" t="s">
        <v>124</v>
      </c>
      <c r="J52" s="2" t="s">
        <v>125</v>
      </c>
      <c r="K52" s="2" t="s">
        <v>126</v>
      </c>
      <c r="L52" s="2" t="str">
        <f>IFERROR(VLOOKUP(IFERROR(VLOOKUP(C52,'Destination Alias'!$A:$B,2,FALSE()),C52),'Best Months'!$A:$B,2,FALSE()),"Not listed")</f>
        <v>Dec–Mar</v>
      </c>
    </row>
    <row r="53" spans="1:19" x14ac:dyDescent="0.3">
      <c r="A53" s="2" t="s">
        <v>122</v>
      </c>
      <c r="B53" s="2" t="s">
        <v>49</v>
      </c>
      <c r="C53" s="2" t="s">
        <v>123</v>
      </c>
      <c r="D53" s="3">
        <v>0.41666666666666702</v>
      </c>
      <c r="E53" s="3">
        <v>0.5</v>
      </c>
      <c r="F53" s="2" t="s">
        <v>51</v>
      </c>
      <c r="G53" s="2" t="s">
        <v>20</v>
      </c>
      <c r="H53" s="2">
        <v>4.5</v>
      </c>
      <c r="I53" s="2" t="s">
        <v>124</v>
      </c>
      <c r="J53" s="2" t="s">
        <v>125</v>
      </c>
      <c r="K53" s="2" t="s">
        <v>126</v>
      </c>
      <c r="L53" s="2" t="str">
        <f>IFERROR(VLOOKUP(IFERROR(VLOOKUP(C53,'Destination Alias'!$A:$B,2,FALSE()),C53),'Best Months'!$A:$B,2,FALSE()),"Not listed")</f>
        <v>Dec–Mar</v>
      </c>
    </row>
    <row r="54" spans="1:19" x14ac:dyDescent="0.3">
      <c r="A54" s="2" t="s">
        <v>127</v>
      </c>
      <c r="B54" s="2" t="s">
        <v>81</v>
      </c>
      <c r="C54" s="2" t="s">
        <v>128</v>
      </c>
      <c r="D54" s="3">
        <v>0.25</v>
      </c>
      <c r="E54" s="3">
        <v>0.41666666666666702</v>
      </c>
      <c r="F54" s="2" t="s">
        <v>129</v>
      </c>
      <c r="G54" s="2" t="s">
        <v>28</v>
      </c>
      <c r="H54" s="2">
        <v>4.4000000000000004</v>
      </c>
      <c r="I54" s="2" t="s">
        <v>130</v>
      </c>
      <c r="J54" s="2" t="s">
        <v>131</v>
      </c>
      <c r="K54" s="2"/>
      <c r="L54" s="2" t="str">
        <f>IFERROR(VLOOKUP(IFERROR(VLOOKUP(C54,'Destination Alias'!$A:$B,2,FALSE()),C54),'Best Months'!$A:$B,2,FALSE()),"Not listed")</f>
        <v>May–Sep</v>
      </c>
    </row>
    <row r="55" spans="1:19" x14ac:dyDescent="0.3">
      <c r="A55" s="2" t="s">
        <v>132</v>
      </c>
      <c r="B55" s="2" t="s">
        <v>49</v>
      </c>
      <c r="C55" s="2" t="s">
        <v>14</v>
      </c>
      <c r="D55" s="3">
        <v>0.35416666666666702</v>
      </c>
      <c r="E55" s="3">
        <v>0.4375</v>
      </c>
      <c r="F55" s="2" t="s">
        <v>51</v>
      </c>
      <c r="G55" s="2" t="s">
        <v>16</v>
      </c>
      <c r="H55" s="2">
        <v>4.7</v>
      </c>
      <c r="I55" s="2" t="s">
        <v>133</v>
      </c>
      <c r="J55" s="2" t="s">
        <v>134</v>
      </c>
      <c r="K55" s="4" t="s">
        <v>135</v>
      </c>
      <c r="L55" s="2" t="str">
        <f>IFERROR(VLOOKUP(IFERROR(VLOOKUP(C55,'Destination Alias'!$A:$B,2,FALSE()),C55),'Best Months'!$A:$B,2,FALSE()),"Not listed")</f>
        <v>Dec–Mar</v>
      </c>
      <c r="S55" t="s">
        <v>135</v>
      </c>
    </row>
    <row r="56" spans="1:19" x14ac:dyDescent="0.3">
      <c r="A56" s="2" t="s">
        <v>136</v>
      </c>
      <c r="B56" s="2" t="s">
        <v>49</v>
      </c>
      <c r="C56" s="2" t="s">
        <v>137</v>
      </c>
      <c r="D56" s="3">
        <v>0.3125</v>
      </c>
      <c r="E56" s="3">
        <v>0.4375</v>
      </c>
      <c r="F56" s="2" t="s">
        <v>61</v>
      </c>
      <c r="G56" s="2" t="s">
        <v>38</v>
      </c>
      <c r="H56" s="2">
        <v>4.3</v>
      </c>
      <c r="I56" s="2" t="s">
        <v>138</v>
      </c>
      <c r="J56" s="2" t="s">
        <v>139</v>
      </c>
      <c r="K56" s="4" t="s">
        <v>140</v>
      </c>
      <c r="L56" s="2" t="str">
        <f>IFERROR(VLOOKUP(IFERROR(VLOOKUP(C56,'Destination Alias'!$A:$B,2,FALSE()),C56),'Best Months'!$A:$B,2,FALSE()),"Not listed")</f>
        <v>Jan–Mar</v>
      </c>
      <c r="S56" t="s">
        <v>140</v>
      </c>
    </row>
    <row r="57" spans="1:19" x14ac:dyDescent="0.3">
      <c r="A57" s="2" t="s">
        <v>141</v>
      </c>
      <c r="B57" s="2" t="s">
        <v>49</v>
      </c>
      <c r="C57" s="2" t="s">
        <v>50</v>
      </c>
      <c r="D57" s="3">
        <v>0.25</v>
      </c>
      <c r="E57" s="3">
        <v>0.375</v>
      </c>
      <c r="F57" s="2" t="s">
        <v>51</v>
      </c>
      <c r="G57" s="2" t="s">
        <v>28</v>
      </c>
      <c r="H57" s="2">
        <v>4.3</v>
      </c>
      <c r="I57" s="2" t="s">
        <v>142</v>
      </c>
      <c r="J57" s="2" t="s">
        <v>143</v>
      </c>
      <c r="K57" s="4" t="s">
        <v>144</v>
      </c>
      <c r="L57" s="2" t="str">
        <f>IFERROR(VLOOKUP(IFERROR(VLOOKUP(C57,'Destination Alias'!$A:$B,2,FALSE()),C57),'Best Months'!$A:$B,2,FALSE()),"Not listed")</f>
        <v>Dec–Mar</v>
      </c>
      <c r="S57" t="s">
        <v>144</v>
      </c>
    </row>
    <row r="58" spans="1:19" x14ac:dyDescent="0.3">
      <c r="A58" s="2" t="s">
        <v>141</v>
      </c>
      <c r="B58" s="2" t="s">
        <v>49</v>
      </c>
      <c r="C58" s="2" t="s">
        <v>50</v>
      </c>
      <c r="D58" s="3">
        <v>0.6875</v>
      </c>
      <c r="E58" s="3">
        <v>0.77083333333333304</v>
      </c>
      <c r="F58" s="2" t="s">
        <v>51</v>
      </c>
      <c r="G58" s="2" t="s">
        <v>73</v>
      </c>
      <c r="H58" s="2">
        <v>4.3</v>
      </c>
      <c r="I58" s="2" t="s">
        <v>142</v>
      </c>
      <c r="J58" s="2" t="s">
        <v>143</v>
      </c>
      <c r="K58" s="4" t="s">
        <v>144</v>
      </c>
      <c r="L58" s="2" t="str">
        <f>IFERROR(VLOOKUP(IFERROR(VLOOKUP(C58,'Destination Alias'!$A:$B,2,FALSE()),C58),'Best Months'!$A:$B,2,FALSE()),"Not listed")</f>
        <v>Dec–Mar</v>
      </c>
      <c r="S58" t="s">
        <v>144</v>
      </c>
    </row>
    <row r="59" spans="1:19" x14ac:dyDescent="0.3">
      <c r="A59" s="2" t="s">
        <v>141</v>
      </c>
      <c r="B59" s="2" t="s">
        <v>49</v>
      </c>
      <c r="C59" s="2" t="s">
        <v>50</v>
      </c>
      <c r="D59" s="3">
        <v>0.25</v>
      </c>
      <c r="E59" s="3">
        <v>0.33333333333333298</v>
      </c>
      <c r="F59" s="2" t="s">
        <v>51</v>
      </c>
      <c r="G59" s="2" t="s">
        <v>28</v>
      </c>
      <c r="H59" s="2">
        <v>4.3</v>
      </c>
      <c r="I59" s="2" t="s">
        <v>142</v>
      </c>
      <c r="J59" s="2" t="s">
        <v>143</v>
      </c>
      <c r="K59" s="4" t="s">
        <v>144</v>
      </c>
      <c r="L59" s="2" t="str">
        <f>IFERROR(VLOOKUP(IFERROR(VLOOKUP(C59,'Destination Alias'!$A:$B,2,FALSE()),C59),'Best Months'!$A:$B,2,FALSE()),"Not listed")</f>
        <v>Dec–Mar</v>
      </c>
      <c r="S59" t="s">
        <v>144</v>
      </c>
    </row>
    <row r="60" spans="1:19" x14ac:dyDescent="0.3">
      <c r="A60" s="2" t="s">
        <v>145</v>
      </c>
      <c r="B60" s="2" t="s">
        <v>13</v>
      </c>
      <c r="C60" s="2" t="s">
        <v>50</v>
      </c>
      <c r="D60" s="3">
        <v>0.25</v>
      </c>
      <c r="E60" s="3">
        <v>0.375</v>
      </c>
      <c r="F60" s="2" t="s">
        <v>15</v>
      </c>
      <c r="G60" s="2" t="s">
        <v>28</v>
      </c>
      <c r="H60" s="2">
        <v>4.3</v>
      </c>
      <c r="I60" s="2" t="s">
        <v>146</v>
      </c>
      <c r="J60" s="2" t="s">
        <v>147</v>
      </c>
      <c r="K60" s="2"/>
      <c r="L60" s="2" t="str">
        <f>IFERROR(VLOOKUP(IFERROR(VLOOKUP(C60,'Destination Alias'!$A:$B,2,FALSE()),C60),'Best Months'!$A:$B,2,FALSE()),"Not listed")</f>
        <v>Dec–Mar</v>
      </c>
    </row>
    <row r="61" spans="1:19" x14ac:dyDescent="0.3">
      <c r="A61" s="2" t="s">
        <v>145</v>
      </c>
      <c r="B61" s="2" t="s">
        <v>13</v>
      </c>
      <c r="C61" s="2" t="s">
        <v>50</v>
      </c>
      <c r="D61" s="3">
        <v>0.6875</v>
      </c>
      <c r="E61" s="3">
        <v>0.77083333333333304</v>
      </c>
      <c r="F61" s="2" t="s">
        <v>15</v>
      </c>
      <c r="G61" s="2" t="s">
        <v>73</v>
      </c>
      <c r="H61" s="2">
        <v>4.3</v>
      </c>
      <c r="I61" s="2" t="s">
        <v>146</v>
      </c>
      <c r="J61" s="2" t="s">
        <v>147</v>
      </c>
      <c r="K61" s="2"/>
      <c r="L61" s="2" t="str">
        <f>IFERROR(VLOOKUP(IFERROR(VLOOKUP(C61,'Destination Alias'!$A:$B,2,FALSE()),C61),'Best Months'!$A:$B,2,FALSE()),"Not listed")</f>
        <v>Dec–Mar</v>
      </c>
    </row>
    <row r="62" spans="1:19" x14ac:dyDescent="0.3">
      <c r="A62" s="2" t="s">
        <v>145</v>
      </c>
      <c r="B62" s="2" t="s">
        <v>13</v>
      </c>
      <c r="C62" s="2" t="s">
        <v>50</v>
      </c>
      <c r="D62" s="3">
        <v>0.6875</v>
      </c>
      <c r="E62" s="3">
        <v>0.75</v>
      </c>
      <c r="F62" s="2" t="s">
        <v>15</v>
      </c>
      <c r="G62" s="2" t="s">
        <v>73</v>
      </c>
      <c r="H62" s="2">
        <v>4.3</v>
      </c>
      <c r="I62" s="2" t="s">
        <v>146</v>
      </c>
      <c r="J62" s="2" t="s">
        <v>147</v>
      </c>
      <c r="K62" s="2"/>
      <c r="L62" s="2" t="str">
        <f>IFERROR(VLOOKUP(IFERROR(VLOOKUP(C62,'Destination Alias'!$A:$B,2,FALSE()),C62),'Best Months'!$A:$B,2,FALSE()),"Not listed")</f>
        <v>Dec–Mar</v>
      </c>
    </row>
    <row r="63" spans="1:19" x14ac:dyDescent="0.3">
      <c r="A63" s="2" t="s">
        <v>148</v>
      </c>
      <c r="B63" s="2" t="s">
        <v>22</v>
      </c>
      <c r="C63" s="2" t="s">
        <v>149</v>
      </c>
      <c r="D63" s="3">
        <v>0.75</v>
      </c>
      <c r="E63" s="3">
        <v>0.79166666666666696</v>
      </c>
      <c r="F63" s="2" t="s">
        <v>35</v>
      </c>
      <c r="G63" s="2" t="s">
        <v>102</v>
      </c>
      <c r="H63" s="2">
        <v>4.5999999999999996</v>
      </c>
      <c r="I63" s="2" t="s">
        <v>150</v>
      </c>
      <c r="J63" s="2" t="s">
        <v>151</v>
      </c>
      <c r="K63" s="2"/>
      <c r="L63" s="2" t="str">
        <f>IFERROR(VLOOKUP(IFERROR(VLOOKUP(C63,'Destination Alias'!$A:$B,2,FALSE()),C63),'Best Months'!$A:$B,2,FALSE()),"Not listed")</f>
        <v>Dec–Mar</v>
      </c>
    </row>
    <row r="64" spans="1:19" x14ac:dyDescent="0.3">
      <c r="A64" s="2" t="s">
        <v>148</v>
      </c>
      <c r="B64" s="2" t="s">
        <v>22</v>
      </c>
      <c r="C64" s="2" t="s">
        <v>149</v>
      </c>
      <c r="D64" s="3">
        <v>0.79166666666666696</v>
      </c>
      <c r="E64" s="3">
        <v>0.83333333333333304</v>
      </c>
      <c r="F64" s="2" t="s">
        <v>35</v>
      </c>
      <c r="G64" s="2" t="s">
        <v>102</v>
      </c>
      <c r="H64" s="2">
        <v>4.5999999999999996</v>
      </c>
      <c r="I64" s="2" t="s">
        <v>150</v>
      </c>
      <c r="J64" s="2" t="s">
        <v>151</v>
      </c>
      <c r="K64" s="2"/>
      <c r="L64" s="2" t="str">
        <f>IFERROR(VLOOKUP(IFERROR(VLOOKUP(C64,'Destination Alias'!$A:$B,2,FALSE()),C64),'Best Months'!$A:$B,2,FALSE()),"Not listed")</f>
        <v>Dec–Mar</v>
      </c>
    </row>
    <row r="65" spans="1:19" x14ac:dyDescent="0.3">
      <c r="A65" s="2" t="s">
        <v>152</v>
      </c>
      <c r="B65" s="2" t="s">
        <v>22</v>
      </c>
      <c r="C65" s="2" t="s">
        <v>50</v>
      </c>
      <c r="D65" s="3">
        <v>0.75</v>
      </c>
      <c r="E65" s="3">
        <v>0.79166666666666696</v>
      </c>
      <c r="F65" s="2" t="s">
        <v>35</v>
      </c>
      <c r="G65" s="2" t="s">
        <v>102</v>
      </c>
      <c r="H65" s="2">
        <v>4.5999999999999996</v>
      </c>
      <c r="I65" s="2" t="s">
        <v>153</v>
      </c>
      <c r="J65" s="2" t="s">
        <v>154</v>
      </c>
      <c r="K65" s="2"/>
      <c r="L65" s="2" t="str">
        <f>IFERROR(VLOOKUP(IFERROR(VLOOKUP(C65,'Destination Alias'!$A:$B,2,FALSE()),C65),'Best Months'!$A:$B,2,FALSE()),"Not listed")</f>
        <v>Dec–Mar</v>
      </c>
    </row>
    <row r="66" spans="1:19" x14ac:dyDescent="0.3">
      <c r="A66" s="2" t="s">
        <v>152</v>
      </c>
      <c r="B66" s="2" t="s">
        <v>22</v>
      </c>
      <c r="C66" s="2" t="s">
        <v>50</v>
      </c>
      <c r="D66" s="3">
        <v>0.79166666666666696</v>
      </c>
      <c r="E66" s="3">
        <v>0.83333333333333304</v>
      </c>
      <c r="F66" s="2" t="s">
        <v>35</v>
      </c>
      <c r="G66" s="2" t="s">
        <v>102</v>
      </c>
      <c r="H66" s="2">
        <v>4.5999999999999996</v>
      </c>
      <c r="I66" s="2" t="s">
        <v>153</v>
      </c>
      <c r="J66" s="2" t="s">
        <v>154</v>
      </c>
      <c r="K66" s="2"/>
      <c r="L66" s="2" t="str">
        <f>IFERROR(VLOOKUP(IFERROR(VLOOKUP(C66,'Destination Alias'!$A:$B,2,FALSE()),C66),'Best Months'!$A:$B,2,FALSE()),"Not listed")</f>
        <v>Dec–Mar</v>
      </c>
    </row>
    <row r="67" spans="1:19" x14ac:dyDescent="0.3">
      <c r="A67" s="2" t="s">
        <v>155</v>
      </c>
      <c r="B67" s="2" t="s">
        <v>81</v>
      </c>
      <c r="C67" s="2" t="s">
        <v>14</v>
      </c>
      <c r="D67" s="3">
        <v>0.35416666666666702</v>
      </c>
      <c r="E67" s="3">
        <v>0.39583333333333298</v>
      </c>
      <c r="F67" s="2" t="s">
        <v>35</v>
      </c>
      <c r="G67" s="2" t="s">
        <v>16</v>
      </c>
      <c r="H67" s="2">
        <v>4.7</v>
      </c>
      <c r="I67" s="2" t="s">
        <v>156</v>
      </c>
      <c r="J67" s="2" t="s">
        <v>157</v>
      </c>
      <c r="K67" s="4" t="s">
        <v>158</v>
      </c>
      <c r="L67" s="2" t="str">
        <f>IFERROR(VLOOKUP(IFERROR(VLOOKUP(C67,'Destination Alias'!$A:$B,2,FALSE()),C67),'Best Months'!$A:$B,2,FALSE()),"Not listed")</f>
        <v>Dec–Mar</v>
      </c>
      <c r="S67" t="s">
        <v>158</v>
      </c>
    </row>
    <row r="68" spans="1:19" x14ac:dyDescent="0.3">
      <c r="A68" s="2" t="s">
        <v>155</v>
      </c>
      <c r="B68" s="2" t="s">
        <v>81</v>
      </c>
      <c r="C68" s="2" t="s">
        <v>14</v>
      </c>
      <c r="D68" s="3">
        <v>0.39583333333333298</v>
      </c>
      <c r="E68" s="3">
        <v>0.4375</v>
      </c>
      <c r="F68" s="2" t="s">
        <v>35</v>
      </c>
      <c r="G68" s="2" t="s">
        <v>20</v>
      </c>
      <c r="H68" s="2">
        <v>4.7</v>
      </c>
      <c r="I68" s="2" t="s">
        <v>156</v>
      </c>
      <c r="J68" s="2" t="s">
        <v>157</v>
      </c>
      <c r="K68" s="4" t="s">
        <v>158</v>
      </c>
      <c r="L68" s="2" t="str">
        <f>IFERROR(VLOOKUP(IFERROR(VLOOKUP(C68,'Destination Alias'!$A:$B,2,FALSE()),C68),'Best Months'!$A:$B,2,FALSE()),"Not listed")</f>
        <v>Dec–Mar</v>
      </c>
      <c r="S68" t="s">
        <v>158</v>
      </c>
    </row>
    <row r="69" spans="1:19" x14ac:dyDescent="0.3">
      <c r="A69" s="2" t="s">
        <v>155</v>
      </c>
      <c r="B69" s="2" t="s">
        <v>81</v>
      </c>
      <c r="C69" s="2" t="s">
        <v>14</v>
      </c>
      <c r="D69" s="3">
        <v>0.4375</v>
      </c>
      <c r="E69" s="3">
        <v>0.47916666666666702</v>
      </c>
      <c r="F69" s="2" t="s">
        <v>35</v>
      </c>
      <c r="G69" s="2" t="s">
        <v>20</v>
      </c>
      <c r="H69" s="2">
        <v>4.7</v>
      </c>
      <c r="I69" s="2" t="s">
        <v>156</v>
      </c>
      <c r="J69" s="2" t="s">
        <v>157</v>
      </c>
      <c r="K69" s="4" t="s">
        <v>158</v>
      </c>
      <c r="L69" s="2" t="str">
        <f>IFERROR(VLOOKUP(IFERROR(VLOOKUP(C69,'Destination Alias'!$A:$B,2,FALSE()),C69),'Best Months'!$A:$B,2,FALSE()),"Not listed")</f>
        <v>Dec–Mar</v>
      </c>
      <c r="S69" t="s">
        <v>158</v>
      </c>
    </row>
    <row r="70" spans="1:19" x14ac:dyDescent="0.3">
      <c r="A70" s="2" t="s">
        <v>159</v>
      </c>
      <c r="B70" s="2" t="s">
        <v>13</v>
      </c>
      <c r="C70" s="2" t="s">
        <v>65</v>
      </c>
      <c r="D70" s="3">
        <v>0.33333333333333298</v>
      </c>
      <c r="E70" s="3">
        <v>0.39583333333333298</v>
      </c>
      <c r="F70" s="2" t="s">
        <v>15</v>
      </c>
      <c r="G70" s="2" t="s">
        <v>16</v>
      </c>
      <c r="H70" s="2">
        <v>4</v>
      </c>
      <c r="I70" s="2" t="s">
        <v>17</v>
      </c>
      <c r="J70" s="2" t="s">
        <v>160</v>
      </c>
      <c r="K70" s="4" t="s">
        <v>161</v>
      </c>
      <c r="L70" s="2" t="str">
        <f>IFERROR(VLOOKUP(IFERROR(VLOOKUP(C70,'Destination Alias'!$A:$B,2,FALSE()),C70),'Best Months'!$A:$B,2,FALSE()),"Not listed")</f>
        <v>Dec–Mar</v>
      </c>
      <c r="S70" t="s">
        <v>161</v>
      </c>
    </row>
    <row r="71" spans="1:19" x14ac:dyDescent="0.3">
      <c r="A71" s="2" t="s">
        <v>159</v>
      </c>
      <c r="B71" s="2" t="s">
        <v>13</v>
      </c>
      <c r="C71" s="2" t="s">
        <v>65</v>
      </c>
      <c r="D71" s="3">
        <v>0.39583333333333298</v>
      </c>
      <c r="E71" s="3">
        <v>0.45833333333333298</v>
      </c>
      <c r="F71" s="2" t="s">
        <v>15</v>
      </c>
      <c r="G71" s="2" t="s">
        <v>20</v>
      </c>
      <c r="H71" s="2">
        <v>4</v>
      </c>
      <c r="I71" s="2" t="s">
        <v>17</v>
      </c>
      <c r="J71" s="2" t="s">
        <v>160</v>
      </c>
      <c r="K71" s="4" t="s">
        <v>161</v>
      </c>
      <c r="L71" s="2" t="str">
        <f>IFERROR(VLOOKUP(IFERROR(VLOOKUP(C71,'Destination Alias'!$A:$B,2,FALSE()),C71),'Best Months'!$A:$B,2,FALSE()),"Not listed")</f>
        <v>Dec–Mar</v>
      </c>
      <c r="S71" t="s">
        <v>161</v>
      </c>
    </row>
    <row r="72" spans="1:19" x14ac:dyDescent="0.3">
      <c r="A72" s="2" t="s">
        <v>162</v>
      </c>
      <c r="B72" s="2" t="s">
        <v>22</v>
      </c>
      <c r="C72" s="2" t="s">
        <v>163</v>
      </c>
      <c r="D72" s="3">
        <v>0.66666666666666696</v>
      </c>
      <c r="E72" s="3">
        <v>0.69791666666666696</v>
      </c>
      <c r="F72" s="2" t="s">
        <v>90</v>
      </c>
      <c r="G72" s="2" t="s">
        <v>73</v>
      </c>
      <c r="H72" s="2">
        <v>4.5999999999999996</v>
      </c>
      <c r="I72" s="2" t="s">
        <v>164</v>
      </c>
      <c r="J72" s="2" t="s">
        <v>165</v>
      </c>
      <c r="K72" s="4" t="s">
        <v>166</v>
      </c>
      <c r="L72" s="2" t="str">
        <f>IFERROR(VLOOKUP(IFERROR(VLOOKUP(C72,'Destination Alias'!$A:$B,2,FALSE()),C72),'Best Months'!$A:$B,2,FALSE()),"Not listed")</f>
        <v>Dec–Mar</v>
      </c>
      <c r="S72" t="s">
        <v>166</v>
      </c>
    </row>
    <row r="73" spans="1:19" x14ac:dyDescent="0.3">
      <c r="A73" s="2" t="s">
        <v>162</v>
      </c>
      <c r="B73" s="2" t="s">
        <v>22</v>
      </c>
      <c r="C73" s="2" t="s">
        <v>163</v>
      </c>
      <c r="D73" s="3">
        <v>0.69791666666666696</v>
      </c>
      <c r="E73" s="3">
        <v>0.72916666666666696</v>
      </c>
      <c r="F73" s="2" t="s">
        <v>90</v>
      </c>
      <c r="G73" s="2" t="s">
        <v>73</v>
      </c>
      <c r="H73" s="2">
        <v>4.5999999999999996</v>
      </c>
      <c r="I73" s="2" t="s">
        <v>164</v>
      </c>
      <c r="J73" s="2" t="s">
        <v>165</v>
      </c>
      <c r="K73" s="4" t="s">
        <v>166</v>
      </c>
      <c r="L73" s="2" t="str">
        <f>IFERROR(VLOOKUP(IFERROR(VLOOKUP(C73,'Destination Alias'!$A:$B,2,FALSE()),C73),'Best Months'!$A:$B,2,FALSE()),"Not listed")</f>
        <v>Dec–Mar</v>
      </c>
      <c r="S73" t="s">
        <v>166</v>
      </c>
    </row>
    <row r="74" spans="1:19" x14ac:dyDescent="0.3">
      <c r="A74" s="2" t="s">
        <v>162</v>
      </c>
      <c r="B74" s="2" t="s">
        <v>22</v>
      </c>
      <c r="C74" s="2" t="s">
        <v>163</v>
      </c>
      <c r="D74" s="3">
        <v>0.72916666666666696</v>
      </c>
      <c r="E74" s="3">
        <v>0.76041666666666696</v>
      </c>
      <c r="F74" s="2" t="s">
        <v>90</v>
      </c>
      <c r="G74" s="2" t="s">
        <v>52</v>
      </c>
      <c r="H74" s="2">
        <v>4.5999999999999996</v>
      </c>
      <c r="I74" s="2" t="s">
        <v>164</v>
      </c>
      <c r="J74" s="2" t="s">
        <v>165</v>
      </c>
      <c r="K74" s="4" t="s">
        <v>166</v>
      </c>
      <c r="L74" s="2" t="str">
        <f>IFERROR(VLOOKUP(IFERROR(VLOOKUP(C74,'Destination Alias'!$A:$B,2,FALSE()),C74),'Best Months'!$A:$B,2,FALSE()),"Not listed")</f>
        <v>Dec–Mar</v>
      </c>
      <c r="S74" t="s">
        <v>166</v>
      </c>
    </row>
    <row r="75" spans="1:19" x14ac:dyDescent="0.3">
      <c r="A75" s="2" t="s">
        <v>167</v>
      </c>
      <c r="B75" s="2" t="s">
        <v>49</v>
      </c>
      <c r="C75" s="2" t="s">
        <v>40</v>
      </c>
      <c r="D75" s="3">
        <v>0.29166666666666702</v>
      </c>
      <c r="E75" s="3">
        <v>0.45833333333333298</v>
      </c>
      <c r="F75" s="2" t="s">
        <v>129</v>
      </c>
      <c r="G75" s="2" t="s">
        <v>38</v>
      </c>
      <c r="H75" s="2">
        <v>4.5</v>
      </c>
      <c r="I75" s="2" t="s">
        <v>168</v>
      </c>
      <c r="J75" s="2" t="s">
        <v>169</v>
      </c>
      <c r="K75" s="4" t="s">
        <v>170</v>
      </c>
      <c r="L75" s="2" t="str">
        <f>IFERROR(VLOOKUP(IFERROR(VLOOKUP(C75,'Destination Alias'!$A:$B,2,FALSE()),C75),'Best Months'!$A:$B,2,FALSE()),"Not listed")</f>
        <v>Jan–Mar, Jul–Aug</v>
      </c>
      <c r="S75" t="s">
        <v>170</v>
      </c>
    </row>
    <row r="76" spans="1:19" x14ac:dyDescent="0.3">
      <c r="A76" s="2" t="s">
        <v>171</v>
      </c>
      <c r="B76" s="2" t="s">
        <v>22</v>
      </c>
      <c r="C76" s="2" t="s">
        <v>40</v>
      </c>
      <c r="D76" s="3">
        <v>0.33333333333333298</v>
      </c>
      <c r="E76" s="3">
        <v>0.375</v>
      </c>
      <c r="F76" s="2" t="s">
        <v>35</v>
      </c>
      <c r="G76" s="2" t="s">
        <v>16</v>
      </c>
      <c r="H76" s="2">
        <v>4.5</v>
      </c>
      <c r="I76" s="2" t="s">
        <v>172</v>
      </c>
      <c r="J76" s="2" t="s">
        <v>173</v>
      </c>
      <c r="K76" s="4" t="s">
        <v>174</v>
      </c>
      <c r="L76" s="2" t="str">
        <f>IFERROR(VLOOKUP(IFERROR(VLOOKUP(C76,'Destination Alias'!$A:$B,2,FALSE()),C76),'Best Months'!$A:$B,2,FALSE()),"Not listed")</f>
        <v>Jan–Mar, Jul–Aug</v>
      </c>
      <c r="S76" t="s">
        <v>174</v>
      </c>
    </row>
    <row r="77" spans="1:19" x14ac:dyDescent="0.3">
      <c r="A77" s="2" t="s">
        <v>171</v>
      </c>
      <c r="B77" s="2" t="s">
        <v>22</v>
      </c>
      <c r="C77" s="2" t="s">
        <v>40</v>
      </c>
      <c r="D77" s="3">
        <v>0.375</v>
      </c>
      <c r="E77" s="3">
        <v>0.41666666666666702</v>
      </c>
      <c r="F77" s="2" t="s">
        <v>35</v>
      </c>
      <c r="G77" s="2" t="s">
        <v>20</v>
      </c>
      <c r="H77" s="2">
        <v>4.5</v>
      </c>
      <c r="I77" s="2" t="s">
        <v>172</v>
      </c>
      <c r="J77" s="2" t="s">
        <v>173</v>
      </c>
      <c r="K77" s="4" t="s">
        <v>174</v>
      </c>
      <c r="L77" s="2" t="str">
        <f>IFERROR(VLOOKUP(IFERROR(VLOOKUP(C77,'Destination Alias'!$A:$B,2,FALSE()),C77),'Best Months'!$A:$B,2,FALSE()),"Not listed")</f>
        <v>Jan–Mar, Jul–Aug</v>
      </c>
      <c r="S77" t="s">
        <v>174</v>
      </c>
    </row>
    <row r="78" spans="1:19" x14ac:dyDescent="0.3">
      <c r="A78" s="2" t="s">
        <v>171</v>
      </c>
      <c r="B78" s="2" t="s">
        <v>22</v>
      </c>
      <c r="C78" s="2" t="s">
        <v>40</v>
      </c>
      <c r="D78" s="3">
        <v>0.41666666666666702</v>
      </c>
      <c r="E78" s="3">
        <v>0.45833333333333298</v>
      </c>
      <c r="F78" s="2" t="s">
        <v>35</v>
      </c>
      <c r="G78" s="2" t="s">
        <v>20</v>
      </c>
      <c r="H78" s="2">
        <v>4.5</v>
      </c>
      <c r="I78" s="2" t="s">
        <v>172</v>
      </c>
      <c r="J78" s="2" t="s">
        <v>173</v>
      </c>
      <c r="K78" s="4" t="s">
        <v>174</v>
      </c>
      <c r="L78" s="2" t="str">
        <f>IFERROR(VLOOKUP(IFERROR(VLOOKUP(C78,'Destination Alias'!$A:$B,2,FALSE()),C78),'Best Months'!$A:$B,2,FALSE()),"Not listed")</f>
        <v>Jan–Mar, Jul–Aug</v>
      </c>
      <c r="S78" t="s">
        <v>174</v>
      </c>
    </row>
    <row r="79" spans="1:19" x14ac:dyDescent="0.3">
      <c r="A79" s="2" t="s">
        <v>175</v>
      </c>
      <c r="B79" s="2" t="s">
        <v>13</v>
      </c>
      <c r="C79" s="2" t="s">
        <v>40</v>
      </c>
      <c r="D79" s="3">
        <v>0.29166666666666702</v>
      </c>
      <c r="E79" s="3">
        <v>0.45833333333333298</v>
      </c>
      <c r="F79" s="2" t="s">
        <v>129</v>
      </c>
      <c r="G79" s="2" t="s">
        <v>38</v>
      </c>
      <c r="H79" s="2">
        <v>4.5</v>
      </c>
      <c r="I79" s="2" t="s">
        <v>176</v>
      </c>
      <c r="J79" s="2" t="s">
        <v>177</v>
      </c>
      <c r="K79" s="4" t="s">
        <v>178</v>
      </c>
      <c r="L79" s="2" t="str">
        <f>IFERROR(VLOOKUP(IFERROR(VLOOKUP(C79,'Destination Alias'!$A:$B,2,FALSE()),C79),'Best Months'!$A:$B,2,FALSE()),"Not listed")</f>
        <v>Jan–Mar, Jul–Aug</v>
      </c>
      <c r="S79" t="s">
        <v>178</v>
      </c>
    </row>
    <row r="80" spans="1:19" x14ac:dyDescent="0.3">
      <c r="A80" s="2" t="s">
        <v>179</v>
      </c>
      <c r="B80" s="2" t="s">
        <v>13</v>
      </c>
      <c r="C80" s="2" t="s">
        <v>23</v>
      </c>
      <c r="D80" s="3">
        <v>0.33333333333333298</v>
      </c>
      <c r="E80" s="3">
        <v>0.39583333333333298</v>
      </c>
      <c r="F80" s="2" t="s">
        <v>15</v>
      </c>
      <c r="G80" s="2" t="s">
        <v>16</v>
      </c>
      <c r="H80" s="2">
        <v>4</v>
      </c>
      <c r="I80" s="2" t="s">
        <v>17</v>
      </c>
      <c r="J80" s="2" t="s">
        <v>180</v>
      </c>
      <c r="K80" s="4" t="s">
        <v>181</v>
      </c>
      <c r="L80" s="2" t="str">
        <f>IFERROR(VLOOKUP(IFERROR(VLOOKUP(C80,'Destination Alias'!$A:$B,2,FALSE()),C80),'Best Months'!$A:$B,2,FALSE()),"Not listed")</f>
        <v>Dec–Mar</v>
      </c>
      <c r="S80" t="s">
        <v>181</v>
      </c>
    </row>
    <row r="81" spans="1:19" x14ac:dyDescent="0.3">
      <c r="A81" s="2" t="s">
        <v>179</v>
      </c>
      <c r="B81" s="2" t="s">
        <v>13</v>
      </c>
      <c r="C81" s="2" t="s">
        <v>23</v>
      </c>
      <c r="D81" s="3">
        <v>0.39583333333333298</v>
      </c>
      <c r="E81" s="3">
        <v>0.45833333333333298</v>
      </c>
      <c r="F81" s="2" t="s">
        <v>15</v>
      </c>
      <c r="G81" s="2" t="s">
        <v>20</v>
      </c>
      <c r="H81" s="2">
        <v>4</v>
      </c>
      <c r="I81" s="2" t="s">
        <v>17</v>
      </c>
      <c r="J81" s="2" t="s">
        <v>180</v>
      </c>
      <c r="K81" s="4" t="s">
        <v>181</v>
      </c>
      <c r="L81" s="2" t="str">
        <f>IFERROR(VLOOKUP(IFERROR(VLOOKUP(C81,'Destination Alias'!$A:$B,2,FALSE()),C81),'Best Months'!$A:$B,2,FALSE()),"Not listed")</f>
        <v>Dec–Mar</v>
      </c>
      <c r="S81" t="s">
        <v>181</v>
      </c>
    </row>
    <row r="82" spans="1:19" x14ac:dyDescent="0.3">
      <c r="A82" s="2" t="s">
        <v>182</v>
      </c>
      <c r="B82" s="2" t="s">
        <v>13</v>
      </c>
      <c r="C82" s="2" t="s">
        <v>137</v>
      </c>
      <c r="D82" s="3">
        <v>0.25</v>
      </c>
      <c r="E82" s="3">
        <v>0.375</v>
      </c>
      <c r="F82" s="2" t="s">
        <v>35</v>
      </c>
      <c r="G82" s="2" t="s">
        <v>28</v>
      </c>
      <c r="H82" s="2">
        <v>4.2</v>
      </c>
      <c r="I82" s="2" t="s">
        <v>183</v>
      </c>
      <c r="J82" s="2" t="s">
        <v>184</v>
      </c>
      <c r="K82" s="4" t="s">
        <v>185</v>
      </c>
      <c r="L82" s="2" t="str">
        <f>IFERROR(VLOOKUP(IFERROR(VLOOKUP(C82,'Destination Alias'!$A:$B,2,FALSE()),C82),'Best Months'!$A:$B,2,FALSE()),"Not listed")</f>
        <v>Jan–Mar</v>
      </c>
      <c r="S82" t="s">
        <v>185</v>
      </c>
    </row>
    <row r="83" spans="1:19" x14ac:dyDescent="0.3">
      <c r="A83" s="2" t="s">
        <v>182</v>
      </c>
      <c r="B83" s="2" t="s">
        <v>13</v>
      </c>
      <c r="C83" s="2" t="s">
        <v>137</v>
      </c>
      <c r="D83" s="3">
        <v>0.66666666666666696</v>
      </c>
      <c r="E83" s="3">
        <v>0.70833333333333304</v>
      </c>
      <c r="F83" s="2" t="s">
        <v>35</v>
      </c>
      <c r="G83" s="2" t="s">
        <v>73</v>
      </c>
      <c r="H83" s="2">
        <v>4.2</v>
      </c>
      <c r="I83" s="2" t="s">
        <v>183</v>
      </c>
      <c r="J83" s="2" t="s">
        <v>184</v>
      </c>
      <c r="K83" s="4" t="s">
        <v>185</v>
      </c>
      <c r="L83" s="2" t="str">
        <f>IFERROR(VLOOKUP(IFERROR(VLOOKUP(C83,'Destination Alias'!$A:$B,2,FALSE()),C83),'Best Months'!$A:$B,2,FALSE()),"Not listed")</f>
        <v>Jan–Mar</v>
      </c>
      <c r="S83" t="s">
        <v>185</v>
      </c>
    </row>
    <row r="84" spans="1:19" x14ac:dyDescent="0.3">
      <c r="A84" s="2" t="s">
        <v>182</v>
      </c>
      <c r="B84" s="2" t="s">
        <v>13</v>
      </c>
      <c r="C84" s="2" t="s">
        <v>137</v>
      </c>
      <c r="D84" s="3">
        <v>0.25</v>
      </c>
      <c r="E84" s="3">
        <v>0.375</v>
      </c>
      <c r="F84" s="2" t="s">
        <v>35</v>
      </c>
      <c r="G84" s="2" t="s">
        <v>28</v>
      </c>
      <c r="H84" s="2">
        <v>4.2</v>
      </c>
      <c r="I84" s="2" t="s">
        <v>183</v>
      </c>
      <c r="J84" s="2" t="s">
        <v>184</v>
      </c>
      <c r="K84" s="4" t="s">
        <v>185</v>
      </c>
      <c r="L84" s="2" t="str">
        <f>IFERROR(VLOOKUP(IFERROR(VLOOKUP(C84,'Destination Alias'!$A:$B,2,FALSE()),C84),'Best Months'!$A:$B,2,FALSE()),"Not listed")</f>
        <v>Jan–Mar</v>
      </c>
      <c r="S84" t="s">
        <v>185</v>
      </c>
    </row>
    <row r="85" spans="1:19" x14ac:dyDescent="0.3">
      <c r="A85" s="2" t="s">
        <v>182</v>
      </c>
      <c r="B85" s="2" t="s">
        <v>13</v>
      </c>
      <c r="C85" s="2" t="s">
        <v>137</v>
      </c>
      <c r="D85" s="3">
        <v>0.64583333333333304</v>
      </c>
      <c r="E85" s="3">
        <v>0.72916666666666696</v>
      </c>
      <c r="F85" s="2" t="s">
        <v>35</v>
      </c>
      <c r="G85" s="2" t="s">
        <v>73</v>
      </c>
      <c r="H85" s="2">
        <v>4.2</v>
      </c>
      <c r="I85" s="2" t="s">
        <v>183</v>
      </c>
      <c r="J85" s="2" t="s">
        <v>184</v>
      </c>
      <c r="K85" s="4" t="s">
        <v>185</v>
      </c>
      <c r="L85" s="2" t="str">
        <f>IFERROR(VLOOKUP(IFERROR(VLOOKUP(C85,'Destination Alias'!$A:$B,2,FALSE()),C85),'Best Months'!$A:$B,2,FALSE()),"Not listed")</f>
        <v>Jan–Mar</v>
      </c>
      <c r="S85" t="s">
        <v>185</v>
      </c>
    </row>
    <row r="86" spans="1:19" x14ac:dyDescent="0.3">
      <c r="A86" s="2" t="s">
        <v>182</v>
      </c>
      <c r="B86" s="2" t="s">
        <v>13</v>
      </c>
      <c r="C86" s="2" t="s">
        <v>137</v>
      </c>
      <c r="D86" s="3">
        <v>0.33333333333333298</v>
      </c>
      <c r="E86" s="3">
        <v>0.375</v>
      </c>
      <c r="F86" s="2" t="s">
        <v>35</v>
      </c>
      <c r="G86" s="2" t="s">
        <v>16</v>
      </c>
      <c r="H86" s="2">
        <v>4.2</v>
      </c>
      <c r="I86" s="2" t="s">
        <v>183</v>
      </c>
      <c r="J86" s="2" t="s">
        <v>184</v>
      </c>
      <c r="K86" s="4" t="s">
        <v>185</v>
      </c>
      <c r="L86" s="2" t="str">
        <f>IFERROR(VLOOKUP(IFERROR(VLOOKUP(C86,'Destination Alias'!$A:$B,2,FALSE()),C86),'Best Months'!$A:$B,2,FALSE()),"Not listed")</f>
        <v>Jan–Mar</v>
      </c>
      <c r="S86" t="s">
        <v>185</v>
      </c>
    </row>
    <row r="87" spans="1:19" x14ac:dyDescent="0.3">
      <c r="A87" s="2" t="s">
        <v>182</v>
      </c>
      <c r="B87" s="2" t="s">
        <v>13</v>
      </c>
      <c r="C87" s="2" t="s">
        <v>137</v>
      </c>
      <c r="D87" s="3">
        <v>0.375</v>
      </c>
      <c r="E87" s="3">
        <v>0.41666666666666702</v>
      </c>
      <c r="F87" s="2" t="s">
        <v>35</v>
      </c>
      <c r="G87" s="2" t="s">
        <v>20</v>
      </c>
      <c r="H87" s="2">
        <v>4.2</v>
      </c>
      <c r="I87" s="2" t="s">
        <v>183</v>
      </c>
      <c r="J87" s="2" t="s">
        <v>184</v>
      </c>
      <c r="K87" s="4" t="s">
        <v>185</v>
      </c>
      <c r="L87" s="2" t="str">
        <f>IFERROR(VLOOKUP(IFERROR(VLOOKUP(C87,'Destination Alias'!$A:$B,2,FALSE()),C87),'Best Months'!$A:$B,2,FALSE()),"Not listed")</f>
        <v>Jan–Mar</v>
      </c>
      <c r="S87" t="s">
        <v>185</v>
      </c>
    </row>
    <row r="88" spans="1:19" x14ac:dyDescent="0.3">
      <c r="A88" s="2" t="s">
        <v>182</v>
      </c>
      <c r="B88" s="2" t="s">
        <v>13</v>
      </c>
      <c r="C88" s="2" t="s">
        <v>137</v>
      </c>
      <c r="D88" s="3">
        <v>0.41666666666666702</v>
      </c>
      <c r="E88" s="3">
        <v>0.45833333333333298</v>
      </c>
      <c r="F88" s="2" t="s">
        <v>35</v>
      </c>
      <c r="G88" s="2" t="s">
        <v>20</v>
      </c>
      <c r="H88" s="2">
        <v>4.2</v>
      </c>
      <c r="I88" s="2" t="s">
        <v>183</v>
      </c>
      <c r="J88" s="2" t="s">
        <v>184</v>
      </c>
      <c r="K88" s="4" t="s">
        <v>185</v>
      </c>
      <c r="L88" s="2" t="str">
        <f>IFERROR(VLOOKUP(IFERROR(VLOOKUP(C88,'Destination Alias'!$A:$B,2,FALSE()),C88),'Best Months'!$A:$B,2,FALSE()),"Not listed")</f>
        <v>Jan–Mar</v>
      </c>
      <c r="S88" t="s">
        <v>185</v>
      </c>
    </row>
    <row r="89" spans="1:19" x14ac:dyDescent="0.3">
      <c r="A89" s="2" t="s">
        <v>186</v>
      </c>
      <c r="B89" s="2" t="s">
        <v>13</v>
      </c>
      <c r="C89" s="2" t="s">
        <v>163</v>
      </c>
      <c r="D89" s="3">
        <v>0.3125</v>
      </c>
      <c r="E89" s="3">
        <v>0.375</v>
      </c>
      <c r="F89" s="2" t="s">
        <v>15</v>
      </c>
      <c r="G89" s="2" t="s">
        <v>38</v>
      </c>
      <c r="H89" s="2">
        <v>4.0999999999999996</v>
      </c>
      <c r="I89" s="2" t="s">
        <v>187</v>
      </c>
      <c r="J89" s="2" t="s">
        <v>188</v>
      </c>
      <c r="K89" s="2"/>
      <c r="L89" s="2" t="str">
        <f>IFERROR(VLOOKUP(IFERROR(VLOOKUP(C89,'Destination Alias'!$A:$B,2,FALSE()),C89),'Best Months'!$A:$B,2,FALSE()),"Not listed")</f>
        <v>Dec–Mar</v>
      </c>
    </row>
    <row r="90" spans="1:19" x14ac:dyDescent="0.3">
      <c r="A90" s="2" t="s">
        <v>186</v>
      </c>
      <c r="B90" s="2" t="s">
        <v>13</v>
      </c>
      <c r="C90" s="2" t="s">
        <v>163</v>
      </c>
      <c r="D90" s="3">
        <v>0.375</v>
      </c>
      <c r="E90" s="3">
        <v>0.4375</v>
      </c>
      <c r="F90" s="2" t="s">
        <v>15</v>
      </c>
      <c r="G90" s="2" t="s">
        <v>20</v>
      </c>
      <c r="H90" s="2">
        <v>4.0999999999999996</v>
      </c>
      <c r="I90" s="2" t="s">
        <v>187</v>
      </c>
      <c r="J90" s="2" t="s">
        <v>188</v>
      </c>
      <c r="K90" s="2"/>
      <c r="L90" s="2" t="str">
        <f>IFERROR(VLOOKUP(IFERROR(VLOOKUP(C90,'Destination Alias'!$A:$B,2,FALSE()),C90),'Best Months'!$A:$B,2,FALSE()),"Not listed")</f>
        <v>Dec–Mar</v>
      </c>
    </row>
    <row r="91" spans="1:19" x14ac:dyDescent="0.3">
      <c r="A91" s="2" t="s">
        <v>189</v>
      </c>
      <c r="B91" s="2" t="s">
        <v>22</v>
      </c>
      <c r="C91" s="2" t="s">
        <v>27</v>
      </c>
      <c r="D91" s="3">
        <v>0.27083333333333298</v>
      </c>
      <c r="E91" s="3">
        <v>0.35416666666666702</v>
      </c>
      <c r="F91" s="2" t="s">
        <v>51</v>
      </c>
      <c r="G91" s="2" t="s">
        <v>28</v>
      </c>
      <c r="H91" s="2">
        <v>4.4000000000000004</v>
      </c>
      <c r="I91" s="2" t="s">
        <v>190</v>
      </c>
      <c r="J91" s="2" t="s">
        <v>191</v>
      </c>
      <c r="K91" s="2"/>
      <c r="L91" s="2" t="str">
        <f>IFERROR(VLOOKUP(IFERROR(VLOOKUP(C91,'Destination Alias'!$A:$B,2,FALSE()),C91),'Best Months'!$A:$B,2,FALSE()),"Not listed")</f>
        <v>May–Sep</v>
      </c>
    </row>
    <row r="92" spans="1:19" x14ac:dyDescent="0.3">
      <c r="A92" s="2" t="s">
        <v>192</v>
      </c>
      <c r="B92" s="2" t="s">
        <v>22</v>
      </c>
      <c r="C92" s="2" t="s">
        <v>193</v>
      </c>
      <c r="D92" s="3">
        <v>0.29166666666666702</v>
      </c>
      <c r="E92" s="3">
        <v>0.35416666666666702</v>
      </c>
      <c r="F92" s="2" t="s">
        <v>15</v>
      </c>
      <c r="G92" s="2" t="s">
        <v>38</v>
      </c>
      <c r="H92" s="2">
        <v>4.7</v>
      </c>
      <c r="I92" s="2" t="s">
        <v>194</v>
      </c>
      <c r="J92" s="2" t="s">
        <v>195</v>
      </c>
      <c r="K92" s="2"/>
      <c r="L92" s="2" t="str">
        <f>IFERROR(VLOOKUP(IFERROR(VLOOKUP(C92,'Destination Alias'!$A:$B,2,FALSE()),C92),'Best Months'!$A:$B,2,FALSE()),"Not listed")</f>
        <v>Jan–Mar</v>
      </c>
    </row>
    <row r="93" spans="1:19" x14ac:dyDescent="0.3">
      <c r="A93" s="2" t="s">
        <v>192</v>
      </c>
      <c r="B93" s="2" t="s">
        <v>22</v>
      </c>
      <c r="C93" s="2" t="s">
        <v>193</v>
      </c>
      <c r="D93" s="3">
        <v>0.35416666666666702</v>
      </c>
      <c r="E93" s="3">
        <v>0.41666666666666702</v>
      </c>
      <c r="F93" s="2" t="s">
        <v>15</v>
      </c>
      <c r="G93" s="2" t="s">
        <v>16</v>
      </c>
      <c r="H93" s="2">
        <v>4.7</v>
      </c>
      <c r="I93" s="2" t="s">
        <v>194</v>
      </c>
      <c r="J93" s="2" t="s">
        <v>195</v>
      </c>
      <c r="K93" s="2"/>
      <c r="L93" s="2" t="str">
        <f>IFERROR(VLOOKUP(IFERROR(VLOOKUP(C93,'Destination Alias'!$A:$B,2,FALSE()),C93),'Best Months'!$A:$B,2,FALSE()),"Not listed")</f>
        <v>Jan–Mar</v>
      </c>
    </row>
    <row r="94" spans="1:19" x14ac:dyDescent="0.3">
      <c r="A94" s="2" t="s">
        <v>196</v>
      </c>
      <c r="B94" s="2" t="s">
        <v>81</v>
      </c>
      <c r="C94" s="2" t="s">
        <v>14</v>
      </c>
      <c r="D94" s="3">
        <v>0.22916666666666699</v>
      </c>
      <c r="E94" s="3">
        <v>0.39583333333333298</v>
      </c>
      <c r="F94" s="2" t="s">
        <v>129</v>
      </c>
      <c r="G94" s="2" t="s">
        <v>28</v>
      </c>
      <c r="H94" s="2">
        <v>5</v>
      </c>
      <c r="I94" s="2" t="s">
        <v>197</v>
      </c>
      <c r="J94" s="2" t="s">
        <v>198</v>
      </c>
      <c r="K94" s="2"/>
      <c r="L94" s="2" t="str">
        <f>IFERROR(VLOOKUP(IFERROR(VLOOKUP(C94,'Destination Alias'!$A:$B,2,FALSE()),C94),'Best Months'!$A:$B,2,FALSE()),"Not listed")</f>
        <v>Dec–Mar</v>
      </c>
    </row>
    <row r="95" spans="1:19" x14ac:dyDescent="0.3">
      <c r="A95" s="2" t="s">
        <v>196</v>
      </c>
      <c r="B95" s="2" t="s">
        <v>81</v>
      </c>
      <c r="C95" s="2" t="s">
        <v>14</v>
      </c>
      <c r="D95" s="3">
        <v>0.25</v>
      </c>
      <c r="E95" s="3">
        <v>0.41666666666666702</v>
      </c>
      <c r="F95" s="2" t="s">
        <v>129</v>
      </c>
      <c r="G95" s="2" t="s">
        <v>28</v>
      </c>
      <c r="H95" s="2">
        <v>4</v>
      </c>
      <c r="I95" s="2" t="s">
        <v>197</v>
      </c>
      <c r="J95" s="2" t="s">
        <v>198</v>
      </c>
      <c r="K95" s="2"/>
      <c r="L95" s="2" t="str">
        <f>IFERROR(VLOOKUP(IFERROR(VLOOKUP(C95,'Destination Alias'!$A:$B,2,FALSE()),C95),'Best Months'!$A:$B,2,FALSE()),"Not listed")</f>
        <v>Dec–Mar</v>
      </c>
    </row>
    <row r="96" spans="1:19" x14ac:dyDescent="0.3">
      <c r="A96" s="2" t="s">
        <v>196</v>
      </c>
      <c r="B96" s="2" t="s">
        <v>81</v>
      </c>
      <c r="C96" s="2" t="s">
        <v>14</v>
      </c>
      <c r="D96" s="3">
        <v>0.27083333333333298</v>
      </c>
      <c r="E96" s="3">
        <v>0.4375</v>
      </c>
      <c r="F96" s="2" t="s">
        <v>129</v>
      </c>
      <c r="G96" s="2" t="s">
        <v>28</v>
      </c>
      <c r="H96" s="2">
        <v>5</v>
      </c>
      <c r="I96" s="2" t="s">
        <v>197</v>
      </c>
      <c r="J96" s="2" t="s">
        <v>198</v>
      </c>
      <c r="K96" s="2"/>
      <c r="L96" s="2" t="str">
        <f>IFERROR(VLOOKUP(IFERROR(VLOOKUP(C96,'Destination Alias'!$A:$B,2,FALSE()),C96),'Best Months'!$A:$B,2,FALSE()),"Not listed")</f>
        <v>Dec–Mar</v>
      </c>
    </row>
    <row r="97" spans="1:19" x14ac:dyDescent="0.3">
      <c r="A97" s="2" t="s">
        <v>196</v>
      </c>
      <c r="B97" s="2" t="s">
        <v>81</v>
      </c>
      <c r="C97" s="2" t="s">
        <v>14</v>
      </c>
      <c r="D97" s="3">
        <v>0.35416666666666702</v>
      </c>
      <c r="E97" s="3">
        <v>0.52083333333333304</v>
      </c>
      <c r="F97" s="2" t="s">
        <v>129</v>
      </c>
      <c r="G97" s="2" t="s">
        <v>16</v>
      </c>
      <c r="H97" s="2">
        <v>5</v>
      </c>
      <c r="I97" s="2" t="s">
        <v>197</v>
      </c>
      <c r="J97" s="2" t="s">
        <v>198</v>
      </c>
      <c r="K97" s="2"/>
      <c r="L97" s="2" t="str">
        <f>IFERROR(VLOOKUP(IFERROR(VLOOKUP(C97,'Destination Alias'!$A:$B,2,FALSE()),C97),'Best Months'!$A:$B,2,FALSE()),"Not listed")</f>
        <v>Dec–Mar</v>
      </c>
    </row>
    <row r="98" spans="1:19" x14ac:dyDescent="0.3">
      <c r="A98" s="2" t="s">
        <v>196</v>
      </c>
      <c r="B98" s="2" t="s">
        <v>81</v>
      </c>
      <c r="C98" s="2" t="s">
        <v>14</v>
      </c>
      <c r="D98" s="3">
        <v>0.58333333333333304</v>
      </c>
      <c r="E98" s="3">
        <v>0.75</v>
      </c>
      <c r="F98" s="2" t="s">
        <v>129</v>
      </c>
      <c r="G98" s="2" t="s">
        <v>199</v>
      </c>
      <c r="H98" s="2">
        <v>4</v>
      </c>
      <c r="I98" s="2" t="s">
        <v>197</v>
      </c>
      <c r="J98" s="2" t="s">
        <v>198</v>
      </c>
      <c r="K98" s="2"/>
      <c r="L98" s="2" t="str">
        <f>IFERROR(VLOOKUP(IFERROR(VLOOKUP(C98,'Destination Alias'!$A:$B,2,FALSE()),C98),'Best Months'!$A:$B,2,FALSE()),"Not listed")</f>
        <v>Dec–Mar</v>
      </c>
    </row>
    <row r="99" spans="1:19" x14ac:dyDescent="0.3">
      <c r="A99" s="2" t="s">
        <v>196</v>
      </c>
      <c r="B99" s="2" t="s">
        <v>81</v>
      </c>
      <c r="C99" s="2" t="s">
        <v>14</v>
      </c>
      <c r="D99" s="3">
        <v>0.625</v>
      </c>
      <c r="E99" s="3">
        <v>0.79166666666666696</v>
      </c>
      <c r="F99" s="2" t="s">
        <v>129</v>
      </c>
      <c r="G99" s="2" t="s">
        <v>73</v>
      </c>
      <c r="H99" s="2">
        <v>5</v>
      </c>
      <c r="I99" s="2" t="s">
        <v>197</v>
      </c>
      <c r="J99" s="2" t="s">
        <v>198</v>
      </c>
      <c r="K99" s="2"/>
      <c r="L99" s="2" t="str">
        <f>IFERROR(VLOOKUP(IFERROR(VLOOKUP(C99,'Destination Alias'!$A:$B,2,FALSE()),C99),'Best Months'!$A:$B,2,FALSE()),"Not listed")</f>
        <v>Dec–Mar</v>
      </c>
    </row>
    <row r="100" spans="1:19" x14ac:dyDescent="0.3">
      <c r="A100" s="2" t="s">
        <v>196</v>
      </c>
      <c r="B100" s="2" t="s">
        <v>81</v>
      </c>
      <c r="C100" s="2" t="s">
        <v>14</v>
      </c>
      <c r="D100" s="3">
        <v>0.6875</v>
      </c>
      <c r="E100" s="3">
        <v>0.85416666666666696</v>
      </c>
      <c r="F100" s="2" t="s">
        <v>129</v>
      </c>
      <c r="G100" s="2" t="s">
        <v>73</v>
      </c>
      <c r="H100" s="2">
        <v>4</v>
      </c>
      <c r="I100" s="2" t="s">
        <v>197</v>
      </c>
      <c r="J100" s="2" t="s">
        <v>198</v>
      </c>
      <c r="K100" s="2"/>
      <c r="L100" s="2" t="str">
        <f>IFERROR(VLOOKUP(IFERROR(VLOOKUP(C100,'Destination Alias'!$A:$B,2,FALSE()),C100),'Best Months'!$A:$B,2,FALSE()),"Not listed")</f>
        <v>Dec–Mar</v>
      </c>
    </row>
    <row r="101" spans="1:19" x14ac:dyDescent="0.3">
      <c r="A101" s="2" t="s">
        <v>196</v>
      </c>
      <c r="B101" s="2" t="s">
        <v>81</v>
      </c>
      <c r="C101" s="2" t="s">
        <v>14</v>
      </c>
      <c r="D101" s="3">
        <v>0.72916666666666696</v>
      </c>
      <c r="E101" s="3">
        <v>0.89583333333333304</v>
      </c>
      <c r="F101" s="2" t="s">
        <v>129</v>
      </c>
      <c r="G101" s="2" t="s">
        <v>52</v>
      </c>
      <c r="H101" s="2">
        <v>5</v>
      </c>
      <c r="I101" s="2" t="s">
        <v>197</v>
      </c>
      <c r="J101" s="2" t="s">
        <v>198</v>
      </c>
      <c r="K101" s="2"/>
      <c r="L101" s="2" t="str">
        <f>IFERROR(VLOOKUP(IFERROR(VLOOKUP(C101,'Destination Alias'!$A:$B,2,FALSE()),C101),'Best Months'!$A:$B,2,FALSE()),"Not listed")</f>
        <v>Dec–Mar</v>
      </c>
    </row>
    <row r="102" spans="1:19" x14ac:dyDescent="0.3">
      <c r="A102" s="2" t="s">
        <v>200</v>
      </c>
      <c r="B102" s="2" t="s">
        <v>81</v>
      </c>
      <c r="C102" s="2" t="s">
        <v>14</v>
      </c>
      <c r="D102" s="3">
        <v>0.25</v>
      </c>
      <c r="E102" s="3">
        <v>0.41666666666666702</v>
      </c>
      <c r="F102" s="2" t="s">
        <v>129</v>
      </c>
      <c r="G102" s="2" t="s">
        <v>28</v>
      </c>
      <c r="H102" s="2">
        <v>4.7</v>
      </c>
      <c r="I102" s="2" t="s">
        <v>201</v>
      </c>
      <c r="J102" s="2" t="s">
        <v>202</v>
      </c>
      <c r="K102" s="4" t="s">
        <v>203</v>
      </c>
      <c r="L102" s="2" t="str">
        <f>IFERROR(VLOOKUP(IFERROR(VLOOKUP(C102,'Destination Alias'!$A:$B,2,FALSE()),C102),'Best Months'!$A:$B,2,FALSE()),"Not listed")</f>
        <v>Dec–Mar</v>
      </c>
      <c r="S102" t="s">
        <v>203</v>
      </c>
    </row>
    <row r="103" spans="1:19" x14ac:dyDescent="0.3">
      <c r="A103" s="2" t="s">
        <v>204</v>
      </c>
      <c r="B103" s="2" t="s">
        <v>22</v>
      </c>
      <c r="C103" s="2" t="s">
        <v>44</v>
      </c>
      <c r="D103" s="3">
        <v>0.33333333333333298</v>
      </c>
      <c r="E103" s="3">
        <v>0.36458333333333298</v>
      </c>
      <c r="F103" s="2" t="s">
        <v>90</v>
      </c>
      <c r="G103" s="2" t="s">
        <v>16</v>
      </c>
      <c r="H103" s="2">
        <v>4.5999999999999996</v>
      </c>
      <c r="I103" s="2" t="s">
        <v>205</v>
      </c>
      <c r="J103" s="2" t="s">
        <v>206</v>
      </c>
      <c r="K103" s="4" t="s">
        <v>207</v>
      </c>
      <c r="L103" s="2" t="str">
        <f>IFERROR(VLOOKUP(IFERROR(VLOOKUP(C103,'Destination Alias'!$A:$B,2,FALSE()),C103),'Best Months'!$A:$B,2,FALSE()),"Not listed")</f>
        <v>Jan–Mar, Jul–Sep</v>
      </c>
      <c r="S103" t="s">
        <v>207</v>
      </c>
    </row>
    <row r="104" spans="1:19" x14ac:dyDescent="0.3">
      <c r="A104" s="2" t="s">
        <v>204</v>
      </c>
      <c r="B104" s="2" t="s">
        <v>22</v>
      </c>
      <c r="C104" s="2" t="s">
        <v>44</v>
      </c>
      <c r="D104" s="3">
        <v>0.36458333333333298</v>
      </c>
      <c r="E104" s="3">
        <v>0.39583333333333298</v>
      </c>
      <c r="F104" s="2" t="s">
        <v>90</v>
      </c>
      <c r="G104" s="2" t="s">
        <v>16</v>
      </c>
      <c r="H104" s="2">
        <v>4.5999999999999996</v>
      </c>
      <c r="I104" s="2" t="s">
        <v>205</v>
      </c>
      <c r="J104" s="2" t="s">
        <v>206</v>
      </c>
      <c r="K104" s="4" t="s">
        <v>207</v>
      </c>
      <c r="L104" s="2" t="str">
        <f>IFERROR(VLOOKUP(IFERROR(VLOOKUP(C104,'Destination Alias'!$A:$B,2,FALSE()),C104),'Best Months'!$A:$B,2,FALSE()),"Not listed")</f>
        <v>Jan–Mar, Jul–Sep</v>
      </c>
      <c r="S104" t="s">
        <v>207</v>
      </c>
    </row>
    <row r="105" spans="1:19" x14ac:dyDescent="0.3">
      <c r="A105" s="2" t="s">
        <v>204</v>
      </c>
      <c r="B105" s="2" t="s">
        <v>22</v>
      </c>
      <c r="C105" s="2" t="s">
        <v>44</v>
      </c>
      <c r="D105" s="3">
        <v>0.39583333333333298</v>
      </c>
      <c r="E105" s="3">
        <v>0.42708333333333298</v>
      </c>
      <c r="F105" s="2" t="s">
        <v>90</v>
      </c>
      <c r="G105" s="2" t="s">
        <v>20</v>
      </c>
      <c r="H105" s="2">
        <v>4.5999999999999996</v>
      </c>
      <c r="I105" s="2" t="s">
        <v>205</v>
      </c>
      <c r="J105" s="2" t="s">
        <v>206</v>
      </c>
      <c r="K105" s="4" t="s">
        <v>207</v>
      </c>
      <c r="L105" s="2" t="str">
        <f>IFERROR(VLOOKUP(IFERROR(VLOOKUP(C105,'Destination Alias'!$A:$B,2,FALSE()),C105),'Best Months'!$A:$B,2,FALSE()),"Not listed")</f>
        <v>Jan–Mar, Jul–Sep</v>
      </c>
      <c r="S105" t="s">
        <v>207</v>
      </c>
    </row>
    <row r="106" spans="1:19" x14ac:dyDescent="0.3">
      <c r="A106" s="2" t="s">
        <v>204</v>
      </c>
      <c r="B106" s="2" t="s">
        <v>22</v>
      </c>
      <c r="C106" s="2" t="s">
        <v>44</v>
      </c>
      <c r="D106" s="3">
        <v>0.42708333333333298</v>
      </c>
      <c r="E106" s="3">
        <v>0.45833333333333298</v>
      </c>
      <c r="F106" s="2" t="s">
        <v>90</v>
      </c>
      <c r="G106" s="2" t="s">
        <v>20</v>
      </c>
      <c r="H106" s="2">
        <v>4.5999999999999996</v>
      </c>
      <c r="I106" s="2" t="s">
        <v>205</v>
      </c>
      <c r="J106" s="2" t="s">
        <v>206</v>
      </c>
      <c r="K106" s="4" t="s">
        <v>207</v>
      </c>
      <c r="L106" s="2" t="str">
        <f>IFERROR(VLOOKUP(IFERROR(VLOOKUP(C106,'Destination Alias'!$A:$B,2,FALSE()),C106),'Best Months'!$A:$B,2,FALSE()),"Not listed")</f>
        <v>Jan–Mar, Jul–Sep</v>
      </c>
      <c r="S106" t="s">
        <v>207</v>
      </c>
    </row>
    <row r="107" spans="1:19" x14ac:dyDescent="0.3">
      <c r="A107" s="2" t="s">
        <v>208</v>
      </c>
      <c r="B107" s="2" t="s">
        <v>49</v>
      </c>
      <c r="C107" s="2" t="s">
        <v>44</v>
      </c>
      <c r="D107" s="3">
        <v>0.66666666666666696</v>
      </c>
      <c r="E107" s="3">
        <v>0.72916666666666696</v>
      </c>
      <c r="F107" s="2" t="s">
        <v>15</v>
      </c>
      <c r="G107" s="2" t="s">
        <v>73</v>
      </c>
      <c r="H107" s="2">
        <v>4.5</v>
      </c>
      <c r="I107" s="2" t="s">
        <v>209</v>
      </c>
      <c r="J107" s="2" t="s">
        <v>210</v>
      </c>
      <c r="K107" s="4" t="s">
        <v>211</v>
      </c>
      <c r="L107" s="2" t="str">
        <f>IFERROR(VLOOKUP(IFERROR(VLOOKUP(C107,'Destination Alias'!$A:$B,2,FALSE()),C107),'Best Months'!$A:$B,2,FALSE()),"Not listed")</f>
        <v>Jan–Mar, Jul–Sep</v>
      </c>
      <c r="S107" t="s">
        <v>211</v>
      </c>
    </row>
    <row r="108" spans="1:19" x14ac:dyDescent="0.3">
      <c r="A108" s="2" t="s">
        <v>208</v>
      </c>
      <c r="B108" s="2" t="s">
        <v>49</v>
      </c>
      <c r="C108" s="2" t="s">
        <v>44</v>
      </c>
      <c r="D108" s="3">
        <v>0.72916666666666696</v>
      </c>
      <c r="E108" s="3">
        <v>0.79166666666666696</v>
      </c>
      <c r="F108" s="2" t="s">
        <v>15</v>
      </c>
      <c r="G108" s="2" t="s">
        <v>52</v>
      </c>
      <c r="H108" s="2">
        <v>4.5</v>
      </c>
      <c r="I108" s="2" t="s">
        <v>209</v>
      </c>
      <c r="J108" s="2" t="s">
        <v>210</v>
      </c>
      <c r="K108" s="4" t="s">
        <v>211</v>
      </c>
      <c r="L108" s="2" t="str">
        <f>IFERROR(VLOOKUP(IFERROR(VLOOKUP(C108,'Destination Alias'!$A:$B,2,FALSE()),C108),'Best Months'!$A:$B,2,FALSE()),"Not listed")</f>
        <v>Jan–Mar, Jul–Sep</v>
      </c>
      <c r="S108" t="s">
        <v>211</v>
      </c>
    </row>
    <row r="109" spans="1:19" x14ac:dyDescent="0.3">
      <c r="A109" s="2" t="s">
        <v>212</v>
      </c>
      <c r="B109" s="2" t="s">
        <v>22</v>
      </c>
      <c r="C109" s="2" t="s">
        <v>213</v>
      </c>
      <c r="D109" s="3">
        <v>0.33333333333333298</v>
      </c>
      <c r="E109" s="3">
        <v>0.36458333333333298</v>
      </c>
      <c r="F109" s="2" t="s">
        <v>90</v>
      </c>
      <c r="G109" s="2" t="s">
        <v>16</v>
      </c>
      <c r="H109" s="2">
        <v>4.5</v>
      </c>
      <c r="I109" s="2" t="s">
        <v>214</v>
      </c>
      <c r="J109" s="2" t="s">
        <v>215</v>
      </c>
      <c r="K109" s="4" t="s">
        <v>216</v>
      </c>
      <c r="L109" s="2" t="str">
        <f>IFERROR(VLOOKUP(IFERROR(VLOOKUP(C109,'Destination Alias'!$A:$B,2,FALSE()),C109),'Best Months'!$A:$B,2,FALSE()),"Not listed")</f>
        <v>Jan–Mar</v>
      </c>
      <c r="S109" t="s">
        <v>216</v>
      </c>
    </row>
    <row r="110" spans="1:19" x14ac:dyDescent="0.3">
      <c r="A110" s="2" t="s">
        <v>212</v>
      </c>
      <c r="B110" s="2" t="s">
        <v>22</v>
      </c>
      <c r="C110" s="2" t="s">
        <v>213</v>
      </c>
      <c r="D110" s="3">
        <v>0.36458333333333298</v>
      </c>
      <c r="E110" s="3">
        <v>0.39583333333333298</v>
      </c>
      <c r="F110" s="2" t="s">
        <v>90</v>
      </c>
      <c r="G110" s="2" t="s">
        <v>16</v>
      </c>
      <c r="H110" s="2">
        <v>4.5</v>
      </c>
      <c r="I110" s="2" t="s">
        <v>214</v>
      </c>
      <c r="J110" s="2" t="s">
        <v>215</v>
      </c>
      <c r="K110" s="4" t="s">
        <v>216</v>
      </c>
      <c r="L110" s="2" t="str">
        <f>IFERROR(VLOOKUP(IFERROR(VLOOKUP(C110,'Destination Alias'!$A:$B,2,FALSE()),C110),'Best Months'!$A:$B,2,FALSE()),"Not listed")</f>
        <v>Jan–Mar</v>
      </c>
      <c r="S110" t="s">
        <v>216</v>
      </c>
    </row>
    <row r="111" spans="1:19" x14ac:dyDescent="0.3">
      <c r="A111" s="2" t="s">
        <v>212</v>
      </c>
      <c r="B111" s="2" t="s">
        <v>22</v>
      </c>
      <c r="C111" s="2" t="s">
        <v>213</v>
      </c>
      <c r="D111" s="3">
        <v>0.39583333333333298</v>
      </c>
      <c r="E111" s="3">
        <v>0.42708333333333298</v>
      </c>
      <c r="F111" s="2" t="s">
        <v>90</v>
      </c>
      <c r="G111" s="2" t="s">
        <v>20</v>
      </c>
      <c r="H111" s="2">
        <v>4.5</v>
      </c>
      <c r="I111" s="2" t="s">
        <v>214</v>
      </c>
      <c r="J111" s="2" t="s">
        <v>215</v>
      </c>
      <c r="K111" s="4" t="s">
        <v>216</v>
      </c>
      <c r="L111" s="2" t="str">
        <f>IFERROR(VLOOKUP(IFERROR(VLOOKUP(C111,'Destination Alias'!$A:$B,2,FALSE()),C111),'Best Months'!$A:$B,2,FALSE()),"Not listed")</f>
        <v>Jan–Mar</v>
      </c>
      <c r="S111" t="s">
        <v>216</v>
      </c>
    </row>
    <row r="112" spans="1:19" x14ac:dyDescent="0.3">
      <c r="A112" s="2" t="s">
        <v>212</v>
      </c>
      <c r="B112" s="2" t="s">
        <v>22</v>
      </c>
      <c r="C112" s="2" t="s">
        <v>213</v>
      </c>
      <c r="D112" s="3">
        <v>0.42708333333333298</v>
      </c>
      <c r="E112" s="3">
        <v>0.45833333333333298</v>
      </c>
      <c r="F112" s="2" t="s">
        <v>90</v>
      </c>
      <c r="G112" s="2" t="s">
        <v>20</v>
      </c>
      <c r="H112" s="2">
        <v>4.5</v>
      </c>
      <c r="I112" s="2" t="s">
        <v>214</v>
      </c>
      <c r="J112" s="2" t="s">
        <v>215</v>
      </c>
      <c r="K112" s="4" t="s">
        <v>216</v>
      </c>
      <c r="L112" s="2" t="str">
        <f>IFERROR(VLOOKUP(IFERROR(VLOOKUP(C112,'Destination Alias'!$A:$B,2,FALSE()),C112),'Best Months'!$A:$B,2,FALSE()),"Not listed")</f>
        <v>Jan–Mar</v>
      </c>
      <c r="S112" t="s">
        <v>216</v>
      </c>
    </row>
    <row r="113" spans="1:19" x14ac:dyDescent="0.3">
      <c r="A113" s="2" t="s">
        <v>217</v>
      </c>
      <c r="B113" s="2" t="s">
        <v>49</v>
      </c>
      <c r="C113" s="2" t="s">
        <v>50</v>
      </c>
      <c r="D113" s="3">
        <v>0.41666666666666702</v>
      </c>
      <c r="E113" s="3">
        <v>0.47916666666666702</v>
      </c>
      <c r="F113" s="2" t="s">
        <v>15</v>
      </c>
      <c r="G113" s="2" t="s">
        <v>20</v>
      </c>
      <c r="H113" s="2">
        <v>4.5</v>
      </c>
      <c r="I113" s="2" t="s">
        <v>218</v>
      </c>
      <c r="J113" s="2" t="s">
        <v>219</v>
      </c>
      <c r="K113" s="2"/>
      <c r="L113" s="2" t="str">
        <f>IFERROR(VLOOKUP(IFERROR(VLOOKUP(C113,'Destination Alias'!$A:$B,2,FALSE()),C113),'Best Months'!$A:$B,2,FALSE()),"Not listed")</f>
        <v>Dec–Mar</v>
      </c>
    </row>
    <row r="114" spans="1:19" x14ac:dyDescent="0.3">
      <c r="A114" s="2" t="s">
        <v>217</v>
      </c>
      <c r="B114" s="2" t="s">
        <v>49</v>
      </c>
      <c r="C114" s="2" t="s">
        <v>50</v>
      </c>
      <c r="D114" s="3">
        <v>0.47916666666666702</v>
      </c>
      <c r="E114" s="3">
        <v>0.54166666666666696</v>
      </c>
      <c r="F114" s="2" t="s">
        <v>15</v>
      </c>
      <c r="G114" s="2" t="s">
        <v>220</v>
      </c>
      <c r="H114" s="2">
        <v>4.5</v>
      </c>
      <c r="I114" s="2" t="s">
        <v>218</v>
      </c>
      <c r="J114" s="2" t="s">
        <v>219</v>
      </c>
      <c r="K114" s="2"/>
      <c r="L114" s="2" t="str">
        <f>IFERROR(VLOOKUP(IFERROR(VLOOKUP(C114,'Destination Alias'!$A:$B,2,FALSE()),C114),'Best Months'!$A:$B,2,FALSE()),"Not listed")</f>
        <v>Dec–Mar</v>
      </c>
    </row>
    <row r="115" spans="1:19" x14ac:dyDescent="0.3">
      <c r="A115" s="2" t="s">
        <v>221</v>
      </c>
      <c r="B115" s="2" t="s">
        <v>13</v>
      </c>
      <c r="C115" s="2" t="s">
        <v>50</v>
      </c>
      <c r="D115" s="3">
        <v>0.6875</v>
      </c>
      <c r="E115" s="3">
        <v>0.71875</v>
      </c>
      <c r="F115" s="2" t="s">
        <v>90</v>
      </c>
      <c r="G115" s="2" t="s">
        <v>73</v>
      </c>
      <c r="H115" s="2">
        <v>4.4000000000000004</v>
      </c>
      <c r="I115" s="2" t="s">
        <v>222</v>
      </c>
      <c r="J115" s="2" t="s">
        <v>223</v>
      </c>
      <c r="K115" s="2"/>
      <c r="L115" s="2" t="str">
        <f>IFERROR(VLOOKUP(IFERROR(VLOOKUP(C115,'Destination Alias'!$A:$B,2,FALSE()),C115),'Best Months'!$A:$B,2,FALSE()),"Not listed")</f>
        <v>Dec–Mar</v>
      </c>
    </row>
    <row r="116" spans="1:19" x14ac:dyDescent="0.3">
      <c r="A116" s="2" t="s">
        <v>221</v>
      </c>
      <c r="B116" s="2" t="s">
        <v>13</v>
      </c>
      <c r="C116" s="2" t="s">
        <v>50</v>
      </c>
      <c r="D116" s="3">
        <v>0.71875</v>
      </c>
      <c r="E116" s="3">
        <v>0.75</v>
      </c>
      <c r="F116" s="2" t="s">
        <v>90</v>
      </c>
      <c r="G116" s="2" t="s">
        <v>52</v>
      </c>
      <c r="H116" s="2">
        <v>4.4000000000000004</v>
      </c>
      <c r="I116" s="2" t="s">
        <v>222</v>
      </c>
      <c r="J116" s="2" t="s">
        <v>223</v>
      </c>
      <c r="K116" s="2"/>
      <c r="L116" s="2" t="str">
        <f>IFERROR(VLOOKUP(IFERROR(VLOOKUP(C116,'Destination Alias'!$A:$B,2,FALSE()),C116),'Best Months'!$A:$B,2,FALSE()),"Not listed")</f>
        <v>Dec–Mar</v>
      </c>
    </row>
    <row r="117" spans="1:19" x14ac:dyDescent="0.3">
      <c r="A117" s="2" t="s">
        <v>224</v>
      </c>
      <c r="B117" s="2" t="s">
        <v>22</v>
      </c>
      <c r="C117" s="2" t="s">
        <v>50</v>
      </c>
      <c r="D117" s="3">
        <v>0.35416666666666702</v>
      </c>
      <c r="E117" s="3">
        <v>0.4375</v>
      </c>
      <c r="F117" s="2" t="s">
        <v>51</v>
      </c>
      <c r="G117" s="2" t="s">
        <v>16</v>
      </c>
      <c r="H117" s="2">
        <v>5</v>
      </c>
      <c r="I117" s="2" t="s">
        <v>225</v>
      </c>
      <c r="J117" s="2" t="s">
        <v>226</v>
      </c>
      <c r="K117" s="4" t="s">
        <v>227</v>
      </c>
      <c r="L117" s="2" t="str">
        <f>IFERROR(VLOOKUP(IFERROR(VLOOKUP(C117,'Destination Alias'!$A:$B,2,FALSE()),C117),'Best Months'!$A:$B,2,FALSE()),"Not listed")</f>
        <v>Dec–Mar</v>
      </c>
      <c r="S117" t="s">
        <v>227</v>
      </c>
    </row>
    <row r="118" spans="1:19" x14ac:dyDescent="0.3">
      <c r="A118" s="2" t="s">
        <v>224</v>
      </c>
      <c r="B118" s="2" t="s">
        <v>22</v>
      </c>
      <c r="C118" s="2" t="s">
        <v>50</v>
      </c>
      <c r="D118" s="3">
        <v>0.375</v>
      </c>
      <c r="E118" s="3">
        <v>0.45833333333333298</v>
      </c>
      <c r="F118" s="2" t="s">
        <v>51</v>
      </c>
      <c r="G118" s="2" t="s">
        <v>20</v>
      </c>
      <c r="H118" s="2">
        <v>3</v>
      </c>
      <c r="I118" s="2" t="s">
        <v>225</v>
      </c>
      <c r="J118" s="2" t="s">
        <v>226</v>
      </c>
      <c r="K118" s="4" t="s">
        <v>227</v>
      </c>
      <c r="L118" s="2" t="str">
        <f>IFERROR(VLOOKUP(IFERROR(VLOOKUP(C118,'Destination Alias'!$A:$B,2,FALSE()),C118),'Best Months'!$A:$B,2,FALSE()),"Not listed")</f>
        <v>Dec–Mar</v>
      </c>
      <c r="S118" t="s">
        <v>227</v>
      </c>
    </row>
    <row r="119" spans="1:19" x14ac:dyDescent="0.3">
      <c r="A119" s="2" t="s">
        <v>224</v>
      </c>
      <c r="B119" s="2" t="s">
        <v>22</v>
      </c>
      <c r="C119" s="2" t="s">
        <v>50</v>
      </c>
      <c r="D119" s="3">
        <v>0.41666666666666702</v>
      </c>
      <c r="E119" s="3">
        <v>0.5</v>
      </c>
      <c r="F119" s="2" t="s">
        <v>51</v>
      </c>
      <c r="G119" s="2" t="s">
        <v>20</v>
      </c>
      <c r="H119" s="2">
        <v>3</v>
      </c>
      <c r="I119" s="2" t="s">
        <v>225</v>
      </c>
      <c r="J119" s="2" t="s">
        <v>226</v>
      </c>
      <c r="K119" s="4" t="s">
        <v>227</v>
      </c>
      <c r="L119" s="2" t="str">
        <f>IFERROR(VLOOKUP(IFERROR(VLOOKUP(C119,'Destination Alias'!$A:$B,2,FALSE()),C119),'Best Months'!$A:$B,2,FALSE()),"Not listed")</f>
        <v>Dec–Mar</v>
      </c>
      <c r="S119" t="s">
        <v>227</v>
      </c>
    </row>
    <row r="120" spans="1:19" x14ac:dyDescent="0.3">
      <c r="A120" s="2" t="s">
        <v>224</v>
      </c>
      <c r="B120" s="2" t="s">
        <v>22</v>
      </c>
      <c r="C120" s="2" t="s">
        <v>50</v>
      </c>
      <c r="D120" s="3">
        <v>0.625</v>
      </c>
      <c r="E120" s="3">
        <v>0.70833333333333304</v>
      </c>
      <c r="F120" s="2" t="s">
        <v>51</v>
      </c>
      <c r="G120" s="2" t="s">
        <v>73</v>
      </c>
      <c r="H120" s="2">
        <v>4</v>
      </c>
      <c r="I120" s="2" t="s">
        <v>225</v>
      </c>
      <c r="J120" s="2" t="s">
        <v>226</v>
      </c>
      <c r="K120" s="4" t="s">
        <v>227</v>
      </c>
      <c r="L120" s="2" t="str">
        <f>IFERROR(VLOOKUP(IFERROR(VLOOKUP(C120,'Destination Alias'!$A:$B,2,FALSE()),C120),'Best Months'!$A:$B,2,FALSE()),"Not listed")</f>
        <v>Dec–Mar</v>
      </c>
      <c r="S120" t="s">
        <v>227</v>
      </c>
    </row>
    <row r="121" spans="1:19" x14ac:dyDescent="0.3">
      <c r="A121" s="2" t="s">
        <v>224</v>
      </c>
      <c r="B121" s="2" t="s">
        <v>22</v>
      </c>
      <c r="C121" s="2" t="s">
        <v>50</v>
      </c>
      <c r="D121" s="3">
        <v>0.66666666666666696</v>
      </c>
      <c r="E121" s="3">
        <v>0.75</v>
      </c>
      <c r="F121" s="2" t="s">
        <v>51</v>
      </c>
      <c r="G121" s="2" t="s">
        <v>73</v>
      </c>
      <c r="H121" s="2">
        <v>5</v>
      </c>
      <c r="I121" s="2" t="s">
        <v>225</v>
      </c>
      <c r="J121" s="2" t="s">
        <v>226</v>
      </c>
      <c r="K121" s="4" t="s">
        <v>227</v>
      </c>
      <c r="L121" s="2" t="str">
        <f>IFERROR(VLOOKUP(IFERROR(VLOOKUP(C121,'Destination Alias'!$A:$B,2,FALSE()),C121),'Best Months'!$A:$B,2,FALSE()),"Not listed")</f>
        <v>Dec–Mar</v>
      </c>
      <c r="S121" t="s">
        <v>227</v>
      </c>
    </row>
    <row r="122" spans="1:19" x14ac:dyDescent="0.3">
      <c r="A122" s="2" t="s">
        <v>224</v>
      </c>
      <c r="B122" s="2" t="s">
        <v>22</v>
      </c>
      <c r="C122" s="2" t="s">
        <v>50</v>
      </c>
      <c r="D122" s="3">
        <v>0.70833333333333304</v>
      </c>
      <c r="E122" s="3">
        <v>0.79166666666666696</v>
      </c>
      <c r="F122" s="2" t="s">
        <v>51</v>
      </c>
      <c r="G122" s="2" t="s">
        <v>52</v>
      </c>
      <c r="H122" s="2">
        <v>4</v>
      </c>
      <c r="I122" s="2" t="s">
        <v>225</v>
      </c>
      <c r="J122" s="2" t="s">
        <v>226</v>
      </c>
      <c r="K122" s="4" t="s">
        <v>227</v>
      </c>
      <c r="L122" s="2" t="str">
        <f>IFERROR(VLOOKUP(IFERROR(VLOOKUP(C122,'Destination Alias'!$A:$B,2,FALSE()),C122),'Best Months'!$A:$B,2,FALSE()),"Not listed")</f>
        <v>Dec–Mar</v>
      </c>
      <c r="S122" t="s">
        <v>227</v>
      </c>
    </row>
    <row r="123" spans="1:19" x14ac:dyDescent="0.3">
      <c r="A123" s="2" t="s">
        <v>224</v>
      </c>
      <c r="B123" s="2" t="s">
        <v>22</v>
      </c>
      <c r="C123" s="2" t="s">
        <v>50</v>
      </c>
      <c r="D123" s="3">
        <v>0.75</v>
      </c>
      <c r="E123" s="3">
        <v>0.83333333333333304</v>
      </c>
      <c r="F123" s="2" t="s">
        <v>51</v>
      </c>
      <c r="G123" s="2" t="s">
        <v>102</v>
      </c>
      <c r="H123" s="2">
        <v>5</v>
      </c>
      <c r="I123" s="2" t="s">
        <v>225</v>
      </c>
      <c r="J123" s="2" t="s">
        <v>226</v>
      </c>
      <c r="K123" s="4" t="s">
        <v>227</v>
      </c>
      <c r="L123" s="2" t="str">
        <f>IFERROR(VLOOKUP(IFERROR(VLOOKUP(C123,'Destination Alias'!$A:$B,2,FALSE()),C123),'Best Months'!$A:$B,2,FALSE()),"Not listed")</f>
        <v>Dec–Mar</v>
      </c>
      <c r="S123" t="s">
        <v>227</v>
      </c>
    </row>
    <row r="124" spans="1:19" x14ac:dyDescent="0.3">
      <c r="A124" s="2" t="s">
        <v>224</v>
      </c>
      <c r="B124" s="2" t="s">
        <v>22</v>
      </c>
      <c r="C124" s="2" t="s">
        <v>50</v>
      </c>
      <c r="D124" s="3">
        <v>0.375</v>
      </c>
      <c r="E124" s="3">
        <v>0.45833333333333298</v>
      </c>
      <c r="F124" s="2" t="s">
        <v>51</v>
      </c>
      <c r="G124" s="2" t="s">
        <v>20</v>
      </c>
      <c r="H124" s="2">
        <v>3.9</v>
      </c>
      <c r="I124" s="2" t="s">
        <v>225</v>
      </c>
      <c r="J124" s="2" t="s">
        <v>226</v>
      </c>
      <c r="K124" s="4" t="s">
        <v>227</v>
      </c>
      <c r="L124" s="2" t="str">
        <f>IFERROR(VLOOKUP(IFERROR(VLOOKUP(C124,'Destination Alias'!$A:$B,2,FALSE()),C124),'Best Months'!$A:$B,2,FALSE()),"Not listed")</f>
        <v>Dec–Mar</v>
      </c>
      <c r="S124" t="s">
        <v>227</v>
      </c>
    </row>
    <row r="125" spans="1:19" x14ac:dyDescent="0.3">
      <c r="A125" s="2" t="s">
        <v>228</v>
      </c>
      <c r="B125" s="2" t="s">
        <v>22</v>
      </c>
      <c r="C125" s="2" t="s">
        <v>50</v>
      </c>
      <c r="D125" s="3">
        <v>0.375</v>
      </c>
      <c r="E125" s="3">
        <v>0.4375</v>
      </c>
      <c r="F125" s="2" t="s">
        <v>15</v>
      </c>
      <c r="G125" s="2" t="s">
        <v>20</v>
      </c>
      <c r="H125" s="2">
        <v>4.5999999999999996</v>
      </c>
      <c r="I125" s="2" t="s">
        <v>229</v>
      </c>
      <c r="J125" s="2" t="s">
        <v>230</v>
      </c>
      <c r="K125" s="4" t="s">
        <v>231</v>
      </c>
      <c r="L125" s="2" t="str">
        <f>IFERROR(VLOOKUP(IFERROR(VLOOKUP(C125,'Destination Alias'!$A:$B,2,FALSE()),C125),'Best Months'!$A:$B,2,FALSE()),"Not listed")</f>
        <v>Dec–Mar</v>
      </c>
      <c r="S125" t="s">
        <v>231</v>
      </c>
    </row>
    <row r="126" spans="1:19" x14ac:dyDescent="0.3">
      <c r="A126" s="2" t="s">
        <v>228</v>
      </c>
      <c r="B126" s="2" t="s">
        <v>22</v>
      </c>
      <c r="C126" s="2" t="s">
        <v>50</v>
      </c>
      <c r="D126" s="3">
        <v>0.4375</v>
      </c>
      <c r="E126" s="3">
        <v>0.5</v>
      </c>
      <c r="F126" s="2" t="s">
        <v>15</v>
      </c>
      <c r="G126" s="2" t="s">
        <v>20</v>
      </c>
      <c r="H126" s="2">
        <v>4.5999999999999996</v>
      </c>
      <c r="I126" s="2" t="s">
        <v>229</v>
      </c>
      <c r="J126" s="2" t="s">
        <v>230</v>
      </c>
      <c r="K126" s="4" t="s">
        <v>231</v>
      </c>
      <c r="L126" s="2" t="str">
        <f>IFERROR(VLOOKUP(IFERROR(VLOOKUP(C126,'Destination Alias'!$A:$B,2,FALSE()),C126),'Best Months'!$A:$B,2,FALSE()),"Not listed")</f>
        <v>Dec–Mar</v>
      </c>
      <c r="S126" t="s">
        <v>231</v>
      </c>
    </row>
    <row r="127" spans="1:19" x14ac:dyDescent="0.3">
      <c r="A127" s="2" t="s">
        <v>232</v>
      </c>
      <c r="B127" s="2" t="s">
        <v>49</v>
      </c>
      <c r="C127" s="2" t="s">
        <v>50</v>
      </c>
      <c r="D127" s="3">
        <v>0.66666666666666696</v>
      </c>
      <c r="E127" s="3">
        <v>0.6875</v>
      </c>
      <c r="F127" s="2" t="s">
        <v>233</v>
      </c>
      <c r="G127" s="2" t="s">
        <v>73</v>
      </c>
      <c r="H127" s="2">
        <v>4.5</v>
      </c>
      <c r="I127" s="2" t="s">
        <v>234</v>
      </c>
      <c r="J127" s="2" t="s">
        <v>235</v>
      </c>
      <c r="K127" s="4" t="s">
        <v>236</v>
      </c>
      <c r="L127" s="2" t="str">
        <f>IFERROR(VLOOKUP(IFERROR(VLOOKUP(C127,'Destination Alias'!$A:$B,2,FALSE()),C127),'Best Months'!$A:$B,2,FALSE()),"Not listed")</f>
        <v>Dec–Mar</v>
      </c>
      <c r="S127" t="s">
        <v>236</v>
      </c>
    </row>
    <row r="128" spans="1:19" x14ac:dyDescent="0.3">
      <c r="A128" s="2" t="s">
        <v>232</v>
      </c>
      <c r="B128" s="2" t="s">
        <v>49</v>
      </c>
      <c r="C128" s="2" t="s">
        <v>50</v>
      </c>
      <c r="D128" s="3">
        <v>0.6875</v>
      </c>
      <c r="E128" s="3">
        <v>0.70833333333333304</v>
      </c>
      <c r="F128" s="2" t="s">
        <v>233</v>
      </c>
      <c r="G128" s="2" t="s">
        <v>73</v>
      </c>
      <c r="H128" s="2">
        <v>4.5</v>
      </c>
      <c r="I128" s="2" t="s">
        <v>234</v>
      </c>
      <c r="J128" s="2" t="s">
        <v>235</v>
      </c>
      <c r="K128" s="4" t="s">
        <v>236</v>
      </c>
      <c r="L128" s="2" t="str">
        <f>IFERROR(VLOOKUP(IFERROR(VLOOKUP(C128,'Destination Alias'!$A:$B,2,FALSE()),C128),'Best Months'!$A:$B,2,FALSE()),"Not listed")</f>
        <v>Dec–Mar</v>
      </c>
      <c r="S128" t="s">
        <v>236</v>
      </c>
    </row>
    <row r="129" spans="1:19" x14ac:dyDescent="0.3">
      <c r="A129" s="2" t="s">
        <v>232</v>
      </c>
      <c r="B129" s="2" t="s">
        <v>49</v>
      </c>
      <c r="C129" s="2" t="s">
        <v>50</v>
      </c>
      <c r="D129" s="3">
        <v>0.70833333333333304</v>
      </c>
      <c r="E129" s="3">
        <v>0.72916666666666696</v>
      </c>
      <c r="F129" s="2" t="s">
        <v>233</v>
      </c>
      <c r="G129" s="2" t="s">
        <v>52</v>
      </c>
      <c r="H129" s="2">
        <v>4.5</v>
      </c>
      <c r="I129" s="2" t="s">
        <v>234</v>
      </c>
      <c r="J129" s="2" t="s">
        <v>235</v>
      </c>
      <c r="K129" s="4" t="s">
        <v>236</v>
      </c>
      <c r="L129" s="2" t="str">
        <f>IFERROR(VLOOKUP(IFERROR(VLOOKUP(C129,'Destination Alias'!$A:$B,2,FALSE()),C129),'Best Months'!$A:$B,2,FALSE()),"Not listed")</f>
        <v>Dec–Mar</v>
      </c>
      <c r="S129" t="s">
        <v>236</v>
      </c>
    </row>
    <row r="130" spans="1:19" x14ac:dyDescent="0.3">
      <c r="A130" s="2" t="s">
        <v>232</v>
      </c>
      <c r="B130" s="2" t="s">
        <v>49</v>
      </c>
      <c r="C130" s="2" t="s">
        <v>50</v>
      </c>
      <c r="D130" s="3">
        <v>0.72916666666666696</v>
      </c>
      <c r="E130" s="3">
        <v>0.75</v>
      </c>
      <c r="F130" s="2" t="s">
        <v>233</v>
      </c>
      <c r="G130" s="2" t="s">
        <v>52</v>
      </c>
      <c r="H130" s="2">
        <v>4.5</v>
      </c>
      <c r="I130" s="2" t="s">
        <v>234</v>
      </c>
      <c r="J130" s="2" t="s">
        <v>235</v>
      </c>
      <c r="K130" s="4" t="s">
        <v>236</v>
      </c>
      <c r="L130" s="2" t="str">
        <f>IFERROR(VLOOKUP(IFERROR(VLOOKUP(C130,'Destination Alias'!$A:$B,2,FALSE()),C130),'Best Months'!$A:$B,2,FALSE()),"Not listed")</f>
        <v>Dec–Mar</v>
      </c>
      <c r="S130" t="s">
        <v>236</v>
      </c>
    </row>
    <row r="131" spans="1:19" x14ac:dyDescent="0.3">
      <c r="A131" s="2" t="s">
        <v>237</v>
      </c>
      <c r="B131" s="2" t="s">
        <v>49</v>
      </c>
      <c r="C131" s="2" t="s">
        <v>50</v>
      </c>
      <c r="D131" s="3">
        <v>0.39583333333333298</v>
      </c>
      <c r="E131" s="3">
        <v>0.45833333333333298</v>
      </c>
      <c r="F131" s="2" t="s">
        <v>15</v>
      </c>
      <c r="G131" s="2" t="s">
        <v>20</v>
      </c>
      <c r="H131" s="2">
        <v>4.5</v>
      </c>
      <c r="I131" s="2" t="s">
        <v>238</v>
      </c>
      <c r="J131" s="2" t="s">
        <v>239</v>
      </c>
      <c r="K131" s="2"/>
      <c r="L131" s="2" t="str">
        <f>IFERROR(VLOOKUP(IFERROR(VLOOKUP(C131,'Destination Alias'!$A:$B,2,FALSE()),C131),'Best Months'!$A:$B,2,FALSE()),"Not listed")</f>
        <v>Dec–Mar</v>
      </c>
    </row>
    <row r="132" spans="1:19" x14ac:dyDescent="0.3">
      <c r="A132" s="2" t="s">
        <v>237</v>
      </c>
      <c r="B132" s="2" t="s">
        <v>49</v>
      </c>
      <c r="C132" s="2" t="s">
        <v>50</v>
      </c>
      <c r="D132" s="3">
        <v>0.45833333333333298</v>
      </c>
      <c r="E132" s="3">
        <v>0.52083333333333304</v>
      </c>
      <c r="F132" s="2" t="s">
        <v>15</v>
      </c>
      <c r="G132" s="2" t="s">
        <v>220</v>
      </c>
      <c r="H132" s="2">
        <v>4.5</v>
      </c>
      <c r="I132" s="2" t="s">
        <v>238</v>
      </c>
      <c r="J132" s="2" t="s">
        <v>239</v>
      </c>
      <c r="K132" s="2"/>
      <c r="L132" s="2" t="str">
        <f>IFERROR(VLOOKUP(IFERROR(VLOOKUP(C132,'Destination Alias'!$A:$B,2,FALSE()),C132),'Best Months'!$A:$B,2,FALSE()),"Not listed")</f>
        <v>Dec–Mar</v>
      </c>
    </row>
    <row r="133" spans="1:19" x14ac:dyDescent="0.3">
      <c r="A133" s="2" t="s">
        <v>240</v>
      </c>
      <c r="B133" s="2" t="s">
        <v>241</v>
      </c>
      <c r="C133" s="2" t="s">
        <v>50</v>
      </c>
      <c r="D133" s="3">
        <v>0.25</v>
      </c>
      <c r="E133" s="3">
        <v>0.375</v>
      </c>
      <c r="F133" s="2" t="s">
        <v>15</v>
      </c>
      <c r="G133" s="2" t="s">
        <v>28</v>
      </c>
      <c r="H133" s="2">
        <v>4.2</v>
      </c>
      <c r="I133" s="2" t="s">
        <v>242</v>
      </c>
      <c r="J133" s="2" t="s">
        <v>243</v>
      </c>
      <c r="K133" s="4" t="s">
        <v>244</v>
      </c>
      <c r="L133" s="2" t="str">
        <f>IFERROR(VLOOKUP(IFERROR(VLOOKUP(C133,'Destination Alias'!$A:$B,2,FALSE()),C133),'Best Months'!$A:$B,2,FALSE()),"Not listed")</f>
        <v>Dec–Mar</v>
      </c>
      <c r="S133" t="s">
        <v>244</v>
      </c>
    </row>
    <row r="134" spans="1:19" x14ac:dyDescent="0.3">
      <c r="A134" s="2" t="s">
        <v>240</v>
      </c>
      <c r="B134" s="2" t="s">
        <v>241</v>
      </c>
      <c r="C134" s="2" t="s">
        <v>50</v>
      </c>
      <c r="D134" s="3">
        <v>0.6875</v>
      </c>
      <c r="E134" s="3">
        <v>0.77083333333333304</v>
      </c>
      <c r="F134" s="2" t="s">
        <v>15</v>
      </c>
      <c r="G134" s="2" t="s">
        <v>73</v>
      </c>
      <c r="H134" s="2">
        <v>4.2</v>
      </c>
      <c r="I134" s="2" t="s">
        <v>242</v>
      </c>
      <c r="J134" s="2" t="s">
        <v>243</v>
      </c>
      <c r="K134" s="4" t="s">
        <v>244</v>
      </c>
      <c r="L134" s="2" t="str">
        <f>IFERROR(VLOOKUP(IFERROR(VLOOKUP(C134,'Destination Alias'!$A:$B,2,FALSE()),C134),'Best Months'!$A:$B,2,FALSE()),"Not listed")</f>
        <v>Dec–Mar</v>
      </c>
      <c r="S134" t="s">
        <v>244</v>
      </c>
    </row>
    <row r="135" spans="1:19" x14ac:dyDescent="0.3">
      <c r="A135" s="2" t="s">
        <v>240</v>
      </c>
      <c r="B135" s="2" t="s">
        <v>241</v>
      </c>
      <c r="C135" s="2" t="s">
        <v>50</v>
      </c>
      <c r="D135" s="3">
        <v>0.6875</v>
      </c>
      <c r="E135" s="3">
        <v>0.75</v>
      </c>
      <c r="F135" s="2" t="s">
        <v>15</v>
      </c>
      <c r="G135" s="2" t="s">
        <v>73</v>
      </c>
      <c r="H135" s="2">
        <v>4.2</v>
      </c>
      <c r="I135" s="2" t="s">
        <v>242</v>
      </c>
      <c r="J135" s="2" t="s">
        <v>243</v>
      </c>
      <c r="K135" s="4" t="s">
        <v>244</v>
      </c>
      <c r="L135" s="2" t="str">
        <f>IFERROR(VLOOKUP(IFERROR(VLOOKUP(C135,'Destination Alias'!$A:$B,2,FALSE()),C135),'Best Months'!$A:$B,2,FALSE()),"Not listed")</f>
        <v>Dec–Mar</v>
      </c>
      <c r="S135" t="s">
        <v>244</v>
      </c>
    </row>
    <row r="136" spans="1:19" x14ac:dyDescent="0.3">
      <c r="A136" s="2" t="s">
        <v>245</v>
      </c>
      <c r="B136" s="2" t="s">
        <v>22</v>
      </c>
      <c r="C136" s="2" t="s">
        <v>44</v>
      </c>
      <c r="D136" s="3">
        <v>0.27083333333333298</v>
      </c>
      <c r="E136" s="3">
        <v>0.3125</v>
      </c>
      <c r="F136" s="2" t="s">
        <v>35</v>
      </c>
      <c r="G136" s="2" t="s">
        <v>28</v>
      </c>
      <c r="H136" s="2">
        <v>4.5999999999999996</v>
      </c>
      <c r="I136" s="2" t="s">
        <v>246</v>
      </c>
      <c r="J136" s="2" t="s">
        <v>247</v>
      </c>
      <c r="K136" s="2" t="s">
        <v>248</v>
      </c>
      <c r="L136" s="2" t="str">
        <f>IFERROR(VLOOKUP(IFERROR(VLOOKUP(C136,'Destination Alias'!$A:$B,2,FALSE()),C136),'Best Months'!$A:$B,2,FALSE()),"Not listed")</f>
        <v>Jan–Mar, Jul–Sep</v>
      </c>
    </row>
    <row r="137" spans="1:19" x14ac:dyDescent="0.3">
      <c r="A137" s="2" t="s">
        <v>245</v>
      </c>
      <c r="B137" s="2" t="s">
        <v>22</v>
      </c>
      <c r="C137" s="2" t="s">
        <v>44</v>
      </c>
      <c r="D137" s="3">
        <v>0.3125</v>
      </c>
      <c r="E137" s="3">
        <v>0.35416666666666702</v>
      </c>
      <c r="F137" s="2" t="s">
        <v>35</v>
      </c>
      <c r="G137" s="2" t="s">
        <v>38</v>
      </c>
      <c r="H137" s="2">
        <v>4.5999999999999996</v>
      </c>
      <c r="I137" s="2" t="s">
        <v>246</v>
      </c>
      <c r="J137" s="2" t="s">
        <v>247</v>
      </c>
      <c r="K137" s="2" t="s">
        <v>248</v>
      </c>
      <c r="L137" s="2" t="str">
        <f>IFERROR(VLOOKUP(IFERROR(VLOOKUP(C137,'Destination Alias'!$A:$B,2,FALSE()),C137),'Best Months'!$A:$B,2,FALSE()),"Not listed")</f>
        <v>Jan–Mar, Jul–Sep</v>
      </c>
    </row>
    <row r="138" spans="1:19" x14ac:dyDescent="0.3">
      <c r="A138" s="2" t="s">
        <v>245</v>
      </c>
      <c r="B138" s="2" t="s">
        <v>22</v>
      </c>
      <c r="C138" s="2" t="s">
        <v>44</v>
      </c>
      <c r="D138" s="3">
        <v>0.35416666666666702</v>
      </c>
      <c r="E138" s="3">
        <v>0.39583333333333298</v>
      </c>
      <c r="F138" s="2" t="s">
        <v>35</v>
      </c>
      <c r="G138" s="2" t="s">
        <v>16</v>
      </c>
      <c r="H138" s="2">
        <v>4.5999999999999996</v>
      </c>
      <c r="I138" s="2" t="s">
        <v>246</v>
      </c>
      <c r="J138" s="2" t="s">
        <v>247</v>
      </c>
      <c r="K138" s="2" t="s">
        <v>248</v>
      </c>
      <c r="L138" s="2" t="str">
        <f>IFERROR(VLOOKUP(IFERROR(VLOOKUP(C138,'Destination Alias'!$A:$B,2,FALSE()),C138),'Best Months'!$A:$B,2,FALSE()),"Not listed")</f>
        <v>Jan–Mar, Jul–Sep</v>
      </c>
    </row>
    <row r="139" spans="1:19" x14ac:dyDescent="0.3">
      <c r="A139" s="2" t="s">
        <v>249</v>
      </c>
      <c r="B139" s="2" t="s">
        <v>22</v>
      </c>
      <c r="C139" s="2" t="s">
        <v>250</v>
      </c>
      <c r="D139" s="3">
        <v>0.27083333333333298</v>
      </c>
      <c r="E139" s="3">
        <v>0.3125</v>
      </c>
      <c r="F139" s="2" t="s">
        <v>35</v>
      </c>
      <c r="G139" s="2" t="s">
        <v>28</v>
      </c>
      <c r="H139" s="2">
        <v>4.0999999999999996</v>
      </c>
      <c r="I139" s="2" t="s">
        <v>251</v>
      </c>
      <c r="J139" s="2" t="s">
        <v>252</v>
      </c>
      <c r="K139" s="2"/>
      <c r="L139" s="2" t="str">
        <f>IFERROR(VLOOKUP(IFERROR(VLOOKUP(C139,'Destination Alias'!$A:$B,2,FALSE()),C139),'Best Months'!$A:$B,2,FALSE()),"Not listed")</f>
        <v>Feb–Sep</v>
      </c>
    </row>
    <row r="140" spans="1:19" x14ac:dyDescent="0.3">
      <c r="A140" s="2" t="s">
        <v>249</v>
      </c>
      <c r="B140" s="2" t="s">
        <v>22</v>
      </c>
      <c r="C140" s="2" t="s">
        <v>250</v>
      </c>
      <c r="D140" s="3">
        <v>0.3125</v>
      </c>
      <c r="E140" s="3">
        <v>0.35416666666666702</v>
      </c>
      <c r="F140" s="2" t="s">
        <v>35</v>
      </c>
      <c r="G140" s="2" t="s">
        <v>38</v>
      </c>
      <c r="H140" s="2">
        <v>4.0999999999999996</v>
      </c>
      <c r="I140" s="2" t="s">
        <v>251</v>
      </c>
      <c r="J140" s="2" t="s">
        <v>252</v>
      </c>
      <c r="K140" s="2"/>
      <c r="L140" s="2" t="str">
        <f>IFERROR(VLOOKUP(IFERROR(VLOOKUP(C140,'Destination Alias'!$A:$B,2,FALSE()),C140),'Best Months'!$A:$B,2,FALSE()),"Not listed")</f>
        <v>Feb–Sep</v>
      </c>
    </row>
    <row r="141" spans="1:19" x14ac:dyDescent="0.3">
      <c r="A141" s="2" t="s">
        <v>249</v>
      </c>
      <c r="B141" s="2" t="s">
        <v>22</v>
      </c>
      <c r="C141" s="2" t="s">
        <v>250</v>
      </c>
      <c r="D141" s="3">
        <v>0.35416666666666702</v>
      </c>
      <c r="E141" s="3">
        <v>0.39583333333333298</v>
      </c>
      <c r="F141" s="2" t="s">
        <v>35</v>
      </c>
      <c r="G141" s="2" t="s">
        <v>16</v>
      </c>
      <c r="H141" s="2">
        <v>4.0999999999999996</v>
      </c>
      <c r="I141" s="2" t="s">
        <v>251</v>
      </c>
      <c r="J141" s="2" t="s">
        <v>252</v>
      </c>
      <c r="K141" s="2"/>
      <c r="L141" s="2" t="str">
        <f>IFERROR(VLOOKUP(IFERROR(VLOOKUP(C141,'Destination Alias'!$A:$B,2,FALSE()),C141),'Best Months'!$A:$B,2,FALSE()),"Not listed")</f>
        <v>Feb–Sep</v>
      </c>
    </row>
    <row r="142" spans="1:19" x14ac:dyDescent="0.3">
      <c r="A142" s="2" t="s">
        <v>253</v>
      </c>
      <c r="B142" s="2" t="s">
        <v>22</v>
      </c>
      <c r="C142" s="2" t="s">
        <v>254</v>
      </c>
      <c r="D142" s="3">
        <v>0.27083333333333298</v>
      </c>
      <c r="E142" s="3">
        <v>0.35416666666666702</v>
      </c>
      <c r="F142" s="2" t="s">
        <v>51</v>
      </c>
      <c r="G142" s="2" t="s">
        <v>28</v>
      </c>
      <c r="H142" s="2">
        <v>5</v>
      </c>
      <c r="I142" s="2" t="s">
        <v>255</v>
      </c>
      <c r="J142" s="2" t="s">
        <v>256</v>
      </c>
      <c r="K142" s="2"/>
      <c r="L142" s="2" t="str">
        <f>IFERROR(VLOOKUP(IFERROR(VLOOKUP(C142,'Destination Alias'!$A:$B,2,FALSE()),C142),'Best Months'!$A:$B,2,FALSE()),"Not listed")</f>
        <v>Jan–Mar, Jul–Sep</v>
      </c>
    </row>
    <row r="143" spans="1:19" x14ac:dyDescent="0.3">
      <c r="A143" s="2" t="s">
        <v>253</v>
      </c>
      <c r="B143" s="2" t="s">
        <v>22</v>
      </c>
      <c r="C143" s="2" t="s">
        <v>254</v>
      </c>
      <c r="D143" s="3">
        <v>0.27083333333333298</v>
      </c>
      <c r="E143" s="3">
        <v>0.35416666666666702</v>
      </c>
      <c r="F143" s="2" t="s">
        <v>51</v>
      </c>
      <c r="G143" s="2" t="s">
        <v>28</v>
      </c>
      <c r="H143" s="2">
        <v>4</v>
      </c>
      <c r="I143" s="2" t="s">
        <v>255</v>
      </c>
      <c r="J143" s="2" t="s">
        <v>256</v>
      </c>
      <c r="K143" s="2"/>
      <c r="L143" s="2" t="str">
        <f>IFERROR(VLOOKUP(IFERROR(VLOOKUP(C143,'Destination Alias'!$A:$B,2,FALSE()),C143),'Best Months'!$A:$B,2,FALSE()),"Not listed")</f>
        <v>Jan–Mar, Jul–Sep</v>
      </c>
    </row>
    <row r="144" spans="1:19" x14ac:dyDescent="0.3">
      <c r="A144" s="2" t="s">
        <v>253</v>
      </c>
      <c r="B144" s="2" t="s">
        <v>22</v>
      </c>
      <c r="C144" s="2" t="s">
        <v>254</v>
      </c>
      <c r="D144" s="3">
        <v>0.35416666666666702</v>
      </c>
      <c r="E144" s="3">
        <v>0.4375</v>
      </c>
      <c r="F144" s="2" t="s">
        <v>51</v>
      </c>
      <c r="G144" s="2" t="s">
        <v>16</v>
      </c>
      <c r="H144" s="2">
        <v>5</v>
      </c>
      <c r="I144" s="2" t="s">
        <v>255</v>
      </c>
      <c r="J144" s="2" t="s">
        <v>256</v>
      </c>
      <c r="K144" s="2"/>
      <c r="L144" s="2" t="str">
        <f>IFERROR(VLOOKUP(IFERROR(VLOOKUP(C144,'Destination Alias'!$A:$B,2,FALSE()),C144),'Best Months'!$A:$B,2,FALSE()),"Not listed")</f>
        <v>Jan–Mar, Jul–Sep</v>
      </c>
    </row>
    <row r="145" spans="1:19" x14ac:dyDescent="0.3">
      <c r="A145" s="2" t="s">
        <v>253</v>
      </c>
      <c r="B145" s="2" t="s">
        <v>22</v>
      </c>
      <c r="C145" s="2" t="s">
        <v>254</v>
      </c>
      <c r="D145" s="3">
        <v>0.5</v>
      </c>
      <c r="E145" s="3">
        <v>0.58333333333333304</v>
      </c>
      <c r="F145" s="2" t="s">
        <v>51</v>
      </c>
      <c r="G145" s="2" t="s">
        <v>220</v>
      </c>
      <c r="H145" s="2">
        <v>5</v>
      </c>
      <c r="I145" s="2" t="s">
        <v>255</v>
      </c>
      <c r="J145" s="2" t="s">
        <v>256</v>
      </c>
      <c r="K145" s="2"/>
      <c r="L145" s="2" t="str">
        <f>IFERROR(VLOOKUP(IFERROR(VLOOKUP(C145,'Destination Alias'!$A:$B,2,FALSE()),C145),'Best Months'!$A:$B,2,FALSE()),"Not listed")</f>
        <v>Jan–Mar, Jul–Sep</v>
      </c>
    </row>
    <row r="146" spans="1:19" x14ac:dyDescent="0.3">
      <c r="A146" s="2" t="s">
        <v>253</v>
      </c>
      <c r="B146" s="2" t="s">
        <v>22</v>
      </c>
      <c r="C146" s="2" t="s">
        <v>254</v>
      </c>
      <c r="D146" s="3">
        <v>0.625</v>
      </c>
      <c r="E146" s="3">
        <v>0.70833333333333304</v>
      </c>
      <c r="F146" s="2" t="s">
        <v>51</v>
      </c>
      <c r="G146" s="2" t="s">
        <v>73</v>
      </c>
      <c r="H146" s="2">
        <v>4</v>
      </c>
      <c r="I146" s="2" t="s">
        <v>255</v>
      </c>
      <c r="J146" s="2" t="s">
        <v>256</v>
      </c>
      <c r="K146" s="2"/>
      <c r="L146" s="2" t="str">
        <f>IFERROR(VLOOKUP(IFERROR(VLOOKUP(C146,'Destination Alias'!$A:$B,2,FALSE()),C146),'Best Months'!$A:$B,2,FALSE()),"Not listed")</f>
        <v>Jan–Mar, Jul–Sep</v>
      </c>
    </row>
    <row r="147" spans="1:19" x14ac:dyDescent="0.3">
      <c r="A147" s="2" t="s">
        <v>253</v>
      </c>
      <c r="B147" s="2" t="s">
        <v>22</v>
      </c>
      <c r="C147" s="2" t="s">
        <v>254</v>
      </c>
      <c r="D147" s="3">
        <v>0.66666666666666696</v>
      </c>
      <c r="E147" s="3">
        <v>0.75</v>
      </c>
      <c r="F147" s="2" t="s">
        <v>51</v>
      </c>
      <c r="G147" s="2" t="s">
        <v>73</v>
      </c>
      <c r="H147" s="2">
        <v>5</v>
      </c>
      <c r="I147" s="2" t="s">
        <v>255</v>
      </c>
      <c r="J147" s="2" t="s">
        <v>256</v>
      </c>
      <c r="K147" s="2"/>
      <c r="L147" s="2" t="str">
        <f>IFERROR(VLOOKUP(IFERROR(VLOOKUP(C147,'Destination Alias'!$A:$B,2,FALSE()),C147),'Best Months'!$A:$B,2,FALSE()),"Not listed")</f>
        <v>Jan–Mar, Jul–Sep</v>
      </c>
    </row>
    <row r="148" spans="1:19" x14ac:dyDescent="0.3">
      <c r="A148" s="2" t="s">
        <v>253</v>
      </c>
      <c r="B148" s="2" t="s">
        <v>22</v>
      </c>
      <c r="C148" s="2" t="s">
        <v>254</v>
      </c>
      <c r="D148" s="3">
        <v>0.6875</v>
      </c>
      <c r="E148" s="3">
        <v>0.77083333333333304</v>
      </c>
      <c r="F148" s="2" t="s">
        <v>51</v>
      </c>
      <c r="G148" s="2" t="s">
        <v>73</v>
      </c>
      <c r="H148" s="2">
        <v>2</v>
      </c>
      <c r="I148" s="2" t="s">
        <v>255</v>
      </c>
      <c r="J148" s="2" t="s">
        <v>256</v>
      </c>
      <c r="K148" s="2"/>
      <c r="L148" s="2" t="str">
        <f>IFERROR(VLOOKUP(IFERROR(VLOOKUP(C148,'Destination Alias'!$A:$B,2,FALSE()),C148),'Best Months'!$A:$B,2,FALSE()),"Not listed")</f>
        <v>Jan–Mar, Jul–Sep</v>
      </c>
    </row>
    <row r="149" spans="1:19" x14ac:dyDescent="0.3">
      <c r="A149" s="2" t="s">
        <v>253</v>
      </c>
      <c r="B149" s="2" t="s">
        <v>22</v>
      </c>
      <c r="C149" s="2" t="s">
        <v>254</v>
      </c>
      <c r="D149" s="3">
        <v>0.72916666666666696</v>
      </c>
      <c r="E149" s="3">
        <v>0.8125</v>
      </c>
      <c r="F149" s="2" t="s">
        <v>51</v>
      </c>
      <c r="G149" s="2" t="s">
        <v>52</v>
      </c>
      <c r="H149" s="2">
        <v>5</v>
      </c>
      <c r="I149" s="2" t="s">
        <v>255</v>
      </c>
      <c r="J149" s="2" t="s">
        <v>256</v>
      </c>
      <c r="K149" s="2"/>
      <c r="L149" s="2" t="str">
        <f>IFERROR(VLOOKUP(IFERROR(VLOOKUP(C149,'Destination Alias'!$A:$B,2,FALSE()),C149),'Best Months'!$A:$B,2,FALSE()),"Not listed")</f>
        <v>Jan–Mar, Jul–Sep</v>
      </c>
    </row>
    <row r="150" spans="1:19" x14ac:dyDescent="0.3">
      <c r="A150" s="2" t="s">
        <v>253</v>
      </c>
      <c r="B150" s="2" t="s">
        <v>22</v>
      </c>
      <c r="C150" s="2" t="s">
        <v>254</v>
      </c>
      <c r="D150" s="3">
        <v>0.75</v>
      </c>
      <c r="E150" s="3">
        <v>0.83333333333333304</v>
      </c>
      <c r="F150" s="2" t="s">
        <v>51</v>
      </c>
      <c r="G150" s="2" t="s">
        <v>102</v>
      </c>
      <c r="H150" s="2">
        <v>5</v>
      </c>
      <c r="I150" s="2" t="s">
        <v>255</v>
      </c>
      <c r="J150" s="2" t="s">
        <v>256</v>
      </c>
      <c r="K150" s="2"/>
      <c r="L150" s="2" t="str">
        <f>IFERROR(VLOOKUP(IFERROR(VLOOKUP(C150,'Destination Alias'!$A:$B,2,FALSE()),C150),'Best Months'!$A:$B,2,FALSE()),"Not listed")</f>
        <v>Jan–Mar, Jul–Sep</v>
      </c>
    </row>
    <row r="151" spans="1:19" x14ac:dyDescent="0.3">
      <c r="A151" s="2" t="s">
        <v>253</v>
      </c>
      <c r="B151" s="2" t="s">
        <v>22</v>
      </c>
      <c r="C151" s="2" t="s">
        <v>254</v>
      </c>
      <c r="D151" s="3">
        <v>0.29166666666666702</v>
      </c>
      <c r="E151" s="3">
        <v>0.375</v>
      </c>
      <c r="F151" s="2" t="s">
        <v>51</v>
      </c>
      <c r="G151" s="2" t="s">
        <v>38</v>
      </c>
      <c r="H151" s="2">
        <v>4.5</v>
      </c>
      <c r="I151" s="2" t="s">
        <v>255</v>
      </c>
      <c r="J151" s="2" t="s">
        <v>256</v>
      </c>
      <c r="K151" s="2"/>
      <c r="L151" s="2" t="str">
        <f>IFERROR(VLOOKUP(IFERROR(VLOOKUP(C151,'Destination Alias'!$A:$B,2,FALSE()),C151),'Best Months'!$A:$B,2,FALSE()),"Not listed")</f>
        <v>Jan–Mar, Jul–Sep</v>
      </c>
    </row>
    <row r="152" spans="1:19" x14ac:dyDescent="0.3">
      <c r="A152" s="2" t="s">
        <v>257</v>
      </c>
      <c r="B152" s="2" t="s">
        <v>49</v>
      </c>
      <c r="C152" s="2" t="s">
        <v>65</v>
      </c>
      <c r="D152" s="3">
        <v>0.66666666666666696</v>
      </c>
      <c r="E152" s="3">
        <v>0.70833333333333304</v>
      </c>
      <c r="F152" s="2" t="s">
        <v>35</v>
      </c>
      <c r="G152" s="2" t="s">
        <v>73</v>
      </c>
      <c r="H152" s="2">
        <v>4.5</v>
      </c>
      <c r="I152" s="2" t="s">
        <v>258</v>
      </c>
      <c r="J152" s="2" t="s">
        <v>259</v>
      </c>
      <c r="K152" s="4" t="s">
        <v>260</v>
      </c>
      <c r="L152" s="2" t="str">
        <f>IFERROR(VLOOKUP(IFERROR(VLOOKUP(C152,'Destination Alias'!$A:$B,2,FALSE()),C152),'Best Months'!$A:$B,2,FALSE()),"Not listed")</f>
        <v>Dec–Mar</v>
      </c>
      <c r="S152" t="s">
        <v>260</v>
      </c>
    </row>
    <row r="153" spans="1:19" x14ac:dyDescent="0.3">
      <c r="A153" s="2" t="s">
        <v>257</v>
      </c>
      <c r="B153" s="2" t="s">
        <v>49</v>
      </c>
      <c r="C153" s="2" t="s">
        <v>65</v>
      </c>
      <c r="D153" s="3">
        <v>0.70833333333333304</v>
      </c>
      <c r="E153" s="3">
        <v>0.75</v>
      </c>
      <c r="F153" s="2" t="s">
        <v>35</v>
      </c>
      <c r="G153" s="2" t="s">
        <v>52</v>
      </c>
      <c r="H153" s="2">
        <v>4.5</v>
      </c>
      <c r="I153" s="2" t="s">
        <v>258</v>
      </c>
      <c r="J153" s="2" t="s">
        <v>259</v>
      </c>
      <c r="K153" s="4" t="s">
        <v>260</v>
      </c>
      <c r="L153" s="2" t="str">
        <f>IFERROR(VLOOKUP(IFERROR(VLOOKUP(C153,'Destination Alias'!$A:$B,2,FALSE()),C153),'Best Months'!$A:$B,2,FALSE()),"Not listed")</f>
        <v>Dec–Mar</v>
      </c>
      <c r="S153" t="s">
        <v>260</v>
      </c>
    </row>
    <row r="154" spans="1:19" x14ac:dyDescent="0.3">
      <c r="A154" s="2" t="s">
        <v>261</v>
      </c>
      <c r="B154" s="2" t="s">
        <v>49</v>
      </c>
      <c r="C154" s="2" t="s">
        <v>44</v>
      </c>
      <c r="D154" s="3">
        <v>0.66666666666666696</v>
      </c>
      <c r="E154" s="3">
        <v>0.70833333333333304</v>
      </c>
      <c r="F154" s="2" t="s">
        <v>35</v>
      </c>
      <c r="G154" s="2" t="s">
        <v>73</v>
      </c>
      <c r="H154" s="2">
        <v>4.5</v>
      </c>
      <c r="I154" s="2" t="s">
        <v>262</v>
      </c>
      <c r="J154" s="2" t="s">
        <v>263</v>
      </c>
      <c r="K154" s="4" t="s">
        <v>264</v>
      </c>
      <c r="L154" s="2" t="str">
        <f>IFERROR(VLOOKUP(IFERROR(VLOOKUP(C154,'Destination Alias'!$A:$B,2,FALSE()),C154),'Best Months'!$A:$B,2,FALSE()),"Not listed")</f>
        <v>Jan–Mar, Jul–Sep</v>
      </c>
      <c r="S154" t="s">
        <v>264</v>
      </c>
    </row>
    <row r="155" spans="1:19" x14ac:dyDescent="0.3">
      <c r="A155" s="2" t="s">
        <v>261</v>
      </c>
      <c r="B155" s="2" t="s">
        <v>49</v>
      </c>
      <c r="C155" s="2" t="s">
        <v>44</v>
      </c>
      <c r="D155" s="3">
        <v>0.70833333333333304</v>
      </c>
      <c r="E155" s="3">
        <v>0.75</v>
      </c>
      <c r="F155" s="2" t="s">
        <v>35</v>
      </c>
      <c r="G155" s="2" t="s">
        <v>52</v>
      </c>
      <c r="H155" s="2">
        <v>4.5</v>
      </c>
      <c r="I155" s="2" t="s">
        <v>262</v>
      </c>
      <c r="J155" s="2" t="s">
        <v>263</v>
      </c>
      <c r="K155" s="4" t="s">
        <v>264</v>
      </c>
      <c r="L155" s="2" t="str">
        <f>IFERROR(VLOOKUP(IFERROR(VLOOKUP(C155,'Destination Alias'!$A:$B,2,FALSE()),C155),'Best Months'!$A:$B,2,FALSE()),"Not listed")</f>
        <v>Jan–Mar, Jul–Sep</v>
      </c>
      <c r="S155" t="s">
        <v>264</v>
      </c>
    </row>
    <row r="156" spans="1:19" x14ac:dyDescent="0.3">
      <c r="A156" s="2" t="s">
        <v>265</v>
      </c>
      <c r="B156" s="2" t="s">
        <v>49</v>
      </c>
      <c r="C156" s="2" t="s">
        <v>44</v>
      </c>
      <c r="D156" s="3">
        <v>0.66666666666666696</v>
      </c>
      <c r="E156" s="3">
        <v>0.72916666666666696</v>
      </c>
      <c r="F156" s="2" t="s">
        <v>15</v>
      </c>
      <c r="G156" s="2" t="s">
        <v>73</v>
      </c>
      <c r="H156" s="2">
        <v>4.5</v>
      </c>
      <c r="I156" s="2" t="s">
        <v>266</v>
      </c>
      <c r="J156" s="2" t="s">
        <v>267</v>
      </c>
      <c r="K156" s="4" t="s">
        <v>268</v>
      </c>
      <c r="L156" s="2" t="str">
        <f>IFERROR(VLOOKUP(IFERROR(VLOOKUP(C156,'Destination Alias'!$A:$B,2,FALSE()),C156),'Best Months'!$A:$B,2,FALSE()),"Not listed")</f>
        <v>Jan–Mar, Jul–Sep</v>
      </c>
      <c r="S156" t="s">
        <v>268</v>
      </c>
    </row>
    <row r="157" spans="1:19" x14ac:dyDescent="0.3">
      <c r="A157" s="2" t="s">
        <v>269</v>
      </c>
      <c r="B157" s="2" t="s">
        <v>13</v>
      </c>
      <c r="C157" s="2" t="s">
        <v>137</v>
      </c>
      <c r="D157" s="3">
        <v>0.33333333333333298</v>
      </c>
      <c r="E157" s="3">
        <v>0.39583333333333298</v>
      </c>
      <c r="F157" s="2" t="s">
        <v>15</v>
      </c>
      <c r="G157" s="2" t="s">
        <v>16</v>
      </c>
      <c r="H157" s="2">
        <v>4</v>
      </c>
      <c r="I157" s="2" t="s">
        <v>17</v>
      </c>
      <c r="J157" s="2" t="s">
        <v>270</v>
      </c>
      <c r="K157" s="4" t="s">
        <v>271</v>
      </c>
      <c r="L157" s="2" t="str">
        <f>IFERROR(VLOOKUP(IFERROR(VLOOKUP(C157,'Destination Alias'!$A:$B,2,FALSE()),C157),'Best Months'!$A:$B,2,FALSE()),"Not listed")</f>
        <v>Jan–Mar</v>
      </c>
      <c r="S157" t="s">
        <v>271</v>
      </c>
    </row>
    <row r="158" spans="1:19" x14ac:dyDescent="0.3">
      <c r="A158" s="2" t="s">
        <v>269</v>
      </c>
      <c r="B158" s="2" t="s">
        <v>13</v>
      </c>
      <c r="C158" s="2" t="s">
        <v>137</v>
      </c>
      <c r="D158" s="3">
        <v>0.39583333333333298</v>
      </c>
      <c r="E158" s="3">
        <v>0.45833333333333298</v>
      </c>
      <c r="F158" s="2" t="s">
        <v>15</v>
      </c>
      <c r="G158" s="2" t="s">
        <v>20</v>
      </c>
      <c r="H158" s="2">
        <v>4</v>
      </c>
      <c r="I158" s="2" t="s">
        <v>17</v>
      </c>
      <c r="J158" s="2" t="s">
        <v>270</v>
      </c>
      <c r="K158" s="4" t="s">
        <v>271</v>
      </c>
      <c r="L158" s="2" t="str">
        <f>IFERROR(VLOOKUP(IFERROR(VLOOKUP(C158,'Destination Alias'!$A:$B,2,FALSE()),C158),'Best Months'!$A:$B,2,FALSE()),"Not listed")</f>
        <v>Jan–Mar</v>
      </c>
      <c r="S158" t="s">
        <v>271</v>
      </c>
    </row>
    <row r="159" spans="1:19" x14ac:dyDescent="0.3">
      <c r="A159" s="2" t="s">
        <v>272</v>
      </c>
      <c r="B159" s="2" t="s">
        <v>81</v>
      </c>
      <c r="C159" s="2" t="s">
        <v>273</v>
      </c>
      <c r="D159" s="3">
        <v>0.35416666666666702</v>
      </c>
      <c r="E159" s="3">
        <v>0.47916666666666702</v>
      </c>
      <c r="F159" s="2" t="s">
        <v>61</v>
      </c>
      <c r="G159" s="2" t="s">
        <v>16</v>
      </c>
      <c r="H159" s="2">
        <v>5</v>
      </c>
      <c r="I159" s="2" t="s">
        <v>274</v>
      </c>
      <c r="J159" s="2" t="s">
        <v>275</v>
      </c>
      <c r="K159" s="2"/>
      <c r="L159" s="2" t="str">
        <f>IFERROR(VLOOKUP(IFERROR(VLOOKUP(C159,'Destination Alias'!$A:$B,2,FALSE()),C159),'Best Months'!$A:$B,2,FALSE()),"Not listed")</f>
        <v>Dec–Mar</v>
      </c>
    </row>
    <row r="160" spans="1:19" x14ac:dyDescent="0.3">
      <c r="A160" s="2" t="s">
        <v>272</v>
      </c>
      <c r="B160" s="2" t="s">
        <v>81</v>
      </c>
      <c r="C160" s="2" t="s">
        <v>273</v>
      </c>
      <c r="D160" s="3">
        <v>0.4375</v>
      </c>
      <c r="E160" s="3">
        <v>0.5625</v>
      </c>
      <c r="F160" s="2" t="s">
        <v>61</v>
      </c>
      <c r="G160" s="2" t="s">
        <v>20</v>
      </c>
      <c r="H160" s="2">
        <v>4</v>
      </c>
      <c r="I160" s="2" t="s">
        <v>274</v>
      </c>
      <c r="J160" s="2" t="s">
        <v>275</v>
      </c>
      <c r="K160" s="2"/>
      <c r="L160" s="2" t="str">
        <f>IFERROR(VLOOKUP(IFERROR(VLOOKUP(C160,'Destination Alias'!$A:$B,2,FALSE()),C160),'Best Months'!$A:$B,2,FALSE()),"Not listed")</f>
        <v>Dec–Mar</v>
      </c>
    </row>
    <row r="161" spans="1:19" x14ac:dyDescent="0.3">
      <c r="A161" s="2" t="s">
        <v>272</v>
      </c>
      <c r="B161" s="2" t="s">
        <v>81</v>
      </c>
      <c r="C161" s="2" t="s">
        <v>273</v>
      </c>
      <c r="D161" s="3">
        <v>0.5</v>
      </c>
      <c r="E161" s="3">
        <v>0.625</v>
      </c>
      <c r="F161" s="2" t="s">
        <v>61</v>
      </c>
      <c r="G161" s="2" t="s">
        <v>220</v>
      </c>
      <c r="H161" s="2">
        <v>3</v>
      </c>
      <c r="I161" s="2" t="s">
        <v>274</v>
      </c>
      <c r="J161" s="2" t="s">
        <v>275</v>
      </c>
      <c r="K161" s="2"/>
      <c r="L161" s="2" t="str">
        <f>IFERROR(VLOOKUP(IFERROR(VLOOKUP(C161,'Destination Alias'!$A:$B,2,FALSE()),C161),'Best Months'!$A:$B,2,FALSE()),"Not listed")</f>
        <v>Dec–Mar</v>
      </c>
    </row>
    <row r="162" spans="1:19" x14ac:dyDescent="0.3">
      <c r="A162" s="2" t="s">
        <v>272</v>
      </c>
      <c r="B162" s="2" t="s">
        <v>81</v>
      </c>
      <c r="C162" s="2" t="s">
        <v>273</v>
      </c>
      <c r="D162" s="3">
        <v>0.5625</v>
      </c>
      <c r="E162" s="3">
        <v>0.6875</v>
      </c>
      <c r="F162" s="2" t="s">
        <v>61</v>
      </c>
      <c r="G162" s="2" t="s">
        <v>199</v>
      </c>
      <c r="H162" s="2">
        <v>3</v>
      </c>
      <c r="I162" s="2" t="s">
        <v>274</v>
      </c>
      <c r="J162" s="2" t="s">
        <v>275</v>
      </c>
      <c r="K162" s="2"/>
      <c r="L162" s="2" t="str">
        <f>IFERROR(VLOOKUP(IFERROR(VLOOKUP(C162,'Destination Alias'!$A:$B,2,FALSE()),C162),'Best Months'!$A:$B,2,FALSE()),"Not listed")</f>
        <v>Dec–Mar</v>
      </c>
    </row>
    <row r="163" spans="1:19" x14ac:dyDescent="0.3">
      <c r="A163" s="2" t="s">
        <v>272</v>
      </c>
      <c r="B163" s="2" t="s">
        <v>81</v>
      </c>
      <c r="C163" s="2" t="s">
        <v>273</v>
      </c>
      <c r="D163" s="3">
        <v>0.59375</v>
      </c>
      <c r="E163" s="3">
        <v>0.71875</v>
      </c>
      <c r="F163" s="2" t="s">
        <v>61</v>
      </c>
      <c r="G163" s="2" t="s">
        <v>199</v>
      </c>
      <c r="H163" s="2">
        <v>3</v>
      </c>
      <c r="I163" s="2" t="s">
        <v>274</v>
      </c>
      <c r="J163" s="2" t="s">
        <v>275</v>
      </c>
      <c r="K163" s="2"/>
      <c r="L163" s="2" t="str">
        <f>IFERROR(VLOOKUP(IFERROR(VLOOKUP(C163,'Destination Alias'!$A:$B,2,FALSE()),C163),'Best Months'!$A:$B,2,FALSE()),"Not listed")</f>
        <v>Dec–Mar</v>
      </c>
    </row>
    <row r="164" spans="1:19" x14ac:dyDescent="0.3">
      <c r="A164" s="2" t="s">
        <v>272</v>
      </c>
      <c r="B164" s="2" t="s">
        <v>81</v>
      </c>
      <c r="C164" s="2" t="s">
        <v>273</v>
      </c>
      <c r="D164" s="3">
        <v>0.625</v>
      </c>
      <c r="E164" s="3">
        <v>0.75</v>
      </c>
      <c r="F164" s="2" t="s">
        <v>61</v>
      </c>
      <c r="G164" s="2" t="s">
        <v>73</v>
      </c>
      <c r="H164" s="2">
        <v>4</v>
      </c>
      <c r="I164" s="2" t="s">
        <v>274</v>
      </c>
      <c r="J164" s="2" t="s">
        <v>275</v>
      </c>
      <c r="K164" s="2"/>
      <c r="L164" s="2" t="str">
        <f>IFERROR(VLOOKUP(IFERROR(VLOOKUP(C164,'Destination Alias'!$A:$B,2,FALSE()),C164),'Best Months'!$A:$B,2,FALSE()),"Not listed")</f>
        <v>Dec–Mar</v>
      </c>
    </row>
    <row r="165" spans="1:19" x14ac:dyDescent="0.3">
      <c r="A165" s="2" t="s">
        <v>272</v>
      </c>
      <c r="B165" s="2" t="s">
        <v>81</v>
      </c>
      <c r="C165" s="2" t="s">
        <v>273</v>
      </c>
      <c r="D165" s="3">
        <v>0.66666666666666696</v>
      </c>
      <c r="E165" s="3">
        <v>0.79166666666666696</v>
      </c>
      <c r="F165" s="2" t="s">
        <v>61</v>
      </c>
      <c r="G165" s="2" t="s">
        <v>73</v>
      </c>
      <c r="H165" s="2">
        <v>1</v>
      </c>
      <c r="I165" s="2" t="s">
        <v>274</v>
      </c>
      <c r="J165" s="2" t="s">
        <v>275</v>
      </c>
      <c r="K165" s="2"/>
      <c r="L165" s="2" t="str">
        <f>IFERROR(VLOOKUP(IFERROR(VLOOKUP(C165,'Destination Alias'!$A:$B,2,FALSE()),C165),'Best Months'!$A:$B,2,FALSE()),"Not listed")</f>
        <v>Dec–Mar</v>
      </c>
    </row>
    <row r="166" spans="1:19" x14ac:dyDescent="0.3">
      <c r="A166" s="2" t="s">
        <v>272</v>
      </c>
      <c r="B166" s="2" t="s">
        <v>81</v>
      </c>
      <c r="C166" s="2" t="s">
        <v>273</v>
      </c>
      <c r="D166" s="3">
        <v>0.6875</v>
      </c>
      <c r="E166" s="3">
        <v>0.8125</v>
      </c>
      <c r="F166" s="2" t="s">
        <v>61</v>
      </c>
      <c r="G166" s="2" t="s">
        <v>73</v>
      </c>
      <c r="H166" s="2">
        <v>4</v>
      </c>
      <c r="I166" s="2" t="s">
        <v>274</v>
      </c>
      <c r="J166" s="2" t="s">
        <v>275</v>
      </c>
      <c r="K166" s="2"/>
      <c r="L166" s="2" t="str">
        <f>IFERROR(VLOOKUP(IFERROR(VLOOKUP(C166,'Destination Alias'!$A:$B,2,FALSE()),C166),'Best Months'!$A:$B,2,FALSE()),"Not listed")</f>
        <v>Dec–Mar</v>
      </c>
    </row>
    <row r="167" spans="1:19" x14ac:dyDescent="0.3">
      <c r="A167" s="2" t="s">
        <v>272</v>
      </c>
      <c r="B167" s="2" t="s">
        <v>81</v>
      </c>
      <c r="C167" s="2" t="s">
        <v>273</v>
      </c>
      <c r="D167" s="3">
        <v>0.75</v>
      </c>
      <c r="E167" s="3">
        <v>0.875</v>
      </c>
      <c r="F167" s="2" t="s">
        <v>61</v>
      </c>
      <c r="G167" s="2" t="s">
        <v>102</v>
      </c>
      <c r="H167" s="2">
        <v>4</v>
      </c>
      <c r="I167" s="2" t="s">
        <v>274</v>
      </c>
      <c r="J167" s="2" t="s">
        <v>275</v>
      </c>
      <c r="K167" s="2"/>
      <c r="L167" s="2" t="str">
        <f>IFERROR(VLOOKUP(IFERROR(VLOOKUP(C167,'Destination Alias'!$A:$B,2,FALSE()),C167),'Best Months'!$A:$B,2,FALSE()),"Not listed")</f>
        <v>Dec–Mar</v>
      </c>
    </row>
    <row r="168" spans="1:19" x14ac:dyDescent="0.3">
      <c r="A168" s="2" t="s">
        <v>272</v>
      </c>
      <c r="B168" s="2" t="s">
        <v>81</v>
      </c>
      <c r="C168" s="2" t="s">
        <v>273</v>
      </c>
      <c r="D168" s="3">
        <v>0.35416666666666702</v>
      </c>
      <c r="E168" s="3">
        <v>0.45833333333333298</v>
      </c>
      <c r="F168" s="2" t="s">
        <v>61</v>
      </c>
      <c r="G168" s="2" t="s">
        <v>16</v>
      </c>
      <c r="H168" s="2">
        <v>3.7</v>
      </c>
      <c r="I168" s="2" t="s">
        <v>274</v>
      </c>
      <c r="J168" s="2" t="s">
        <v>275</v>
      </c>
      <c r="K168" s="2"/>
      <c r="L168" s="2" t="str">
        <f>IFERROR(VLOOKUP(IFERROR(VLOOKUP(C168,'Destination Alias'!$A:$B,2,FALSE()),C168),'Best Months'!$A:$B,2,FALSE()),"Not listed")</f>
        <v>Dec–Mar</v>
      </c>
    </row>
    <row r="169" spans="1:19" x14ac:dyDescent="0.3">
      <c r="A169" s="2" t="s">
        <v>272</v>
      </c>
      <c r="B169" s="2" t="s">
        <v>81</v>
      </c>
      <c r="C169" s="2" t="s">
        <v>273</v>
      </c>
      <c r="D169" s="3">
        <v>0.64583333333333304</v>
      </c>
      <c r="E169" s="3">
        <v>0.72916666666666696</v>
      </c>
      <c r="F169" s="2" t="s">
        <v>61</v>
      </c>
      <c r="G169" s="2" t="s">
        <v>73</v>
      </c>
      <c r="H169" s="2">
        <v>3.7</v>
      </c>
      <c r="I169" s="2" t="s">
        <v>274</v>
      </c>
      <c r="J169" s="2" t="s">
        <v>275</v>
      </c>
      <c r="K169" s="2"/>
      <c r="L169" s="2" t="str">
        <f>IFERROR(VLOOKUP(IFERROR(VLOOKUP(C169,'Destination Alias'!$A:$B,2,FALSE()),C169),'Best Months'!$A:$B,2,FALSE()),"Not listed")</f>
        <v>Dec–Mar</v>
      </c>
    </row>
    <row r="170" spans="1:19" x14ac:dyDescent="0.3">
      <c r="A170" s="2" t="s">
        <v>276</v>
      </c>
      <c r="B170" s="2" t="s">
        <v>49</v>
      </c>
      <c r="C170" s="2" t="s">
        <v>50</v>
      </c>
      <c r="D170" s="3">
        <v>0.35416666666666702</v>
      </c>
      <c r="E170" s="3">
        <v>0.47916666666666702</v>
      </c>
      <c r="F170" s="2" t="s">
        <v>61</v>
      </c>
      <c r="G170" s="2" t="s">
        <v>16</v>
      </c>
      <c r="H170" s="2">
        <v>3</v>
      </c>
      <c r="I170" s="2" t="s">
        <v>274</v>
      </c>
      <c r="J170" s="2" t="s">
        <v>277</v>
      </c>
      <c r="K170" s="4" t="s">
        <v>278</v>
      </c>
      <c r="L170" s="2" t="str">
        <f>IFERROR(VLOOKUP(IFERROR(VLOOKUP(C170,'Destination Alias'!$A:$B,2,FALSE()),C170),'Best Months'!$A:$B,2,FALSE()),"Not listed")</f>
        <v>Dec–Mar</v>
      </c>
      <c r="S170" t="s">
        <v>278</v>
      </c>
    </row>
    <row r="171" spans="1:19" x14ac:dyDescent="0.3">
      <c r="A171" s="2" t="s">
        <v>276</v>
      </c>
      <c r="B171" s="2" t="s">
        <v>49</v>
      </c>
      <c r="C171" s="2" t="s">
        <v>50</v>
      </c>
      <c r="D171" s="3">
        <v>0.4375</v>
      </c>
      <c r="E171" s="3">
        <v>0.5625</v>
      </c>
      <c r="F171" s="2" t="s">
        <v>61</v>
      </c>
      <c r="G171" s="2" t="s">
        <v>20</v>
      </c>
      <c r="H171" s="2">
        <v>4</v>
      </c>
      <c r="I171" s="2" t="s">
        <v>274</v>
      </c>
      <c r="J171" s="2" t="s">
        <v>277</v>
      </c>
      <c r="K171" s="4" t="s">
        <v>278</v>
      </c>
      <c r="L171" s="2" t="str">
        <f>IFERROR(VLOOKUP(IFERROR(VLOOKUP(C171,'Destination Alias'!$A:$B,2,FALSE()),C171),'Best Months'!$A:$B,2,FALSE()),"Not listed")</f>
        <v>Dec–Mar</v>
      </c>
      <c r="S171" t="s">
        <v>278</v>
      </c>
    </row>
    <row r="172" spans="1:19" x14ac:dyDescent="0.3">
      <c r="A172" s="2" t="s">
        <v>276</v>
      </c>
      <c r="B172" s="2" t="s">
        <v>49</v>
      </c>
      <c r="C172" s="2" t="s">
        <v>50</v>
      </c>
      <c r="D172" s="3">
        <v>0.5</v>
      </c>
      <c r="E172" s="3">
        <v>0.625</v>
      </c>
      <c r="F172" s="2" t="s">
        <v>61</v>
      </c>
      <c r="G172" s="2" t="s">
        <v>220</v>
      </c>
      <c r="H172" s="2">
        <v>3</v>
      </c>
      <c r="I172" s="2" t="s">
        <v>274</v>
      </c>
      <c r="J172" s="2" t="s">
        <v>277</v>
      </c>
      <c r="K172" s="4" t="s">
        <v>278</v>
      </c>
      <c r="L172" s="2" t="str">
        <f>IFERROR(VLOOKUP(IFERROR(VLOOKUP(C172,'Destination Alias'!$A:$B,2,FALSE()),C172),'Best Months'!$A:$B,2,FALSE()),"Not listed")</f>
        <v>Dec–Mar</v>
      </c>
      <c r="S172" t="s">
        <v>278</v>
      </c>
    </row>
    <row r="173" spans="1:19" x14ac:dyDescent="0.3">
      <c r="A173" s="2" t="s">
        <v>276</v>
      </c>
      <c r="B173" s="2" t="s">
        <v>49</v>
      </c>
      <c r="C173" s="2" t="s">
        <v>50</v>
      </c>
      <c r="D173" s="3">
        <v>0.5625</v>
      </c>
      <c r="E173" s="3">
        <v>0.6875</v>
      </c>
      <c r="F173" s="2" t="s">
        <v>61</v>
      </c>
      <c r="G173" s="2" t="s">
        <v>199</v>
      </c>
      <c r="H173" s="2">
        <v>3</v>
      </c>
      <c r="I173" s="2" t="s">
        <v>274</v>
      </c>
      <c r="J173" s="2" t="s">
        <v>277</v>
      </c>
      <c r="K173" s="4" t="s">
        <v>278</v>
      </c>
      <c r="L173" s="2" t="str">
        <f>IFERROR(VLOOKUP(IFERROR(VLOOKUP(C173,'Destination Alias'!$A:$B,2,FALSE()),C173),'Best Months'!$A:$B,2,FALSE()),"Not listed")</f>
        <v>Dec–Mar</v>
      </c>
      <c r="S173" t="s">
        <v>278</v>
      </c>
    </row>
    <row r="174" spans="1:19" x14ac:dyDescent="0.3">
      <c r="A174" s="2" t="s">
        <v>276</v>
      </c>
      <c r="B174" s="2" t="s">
        <v>49</v>
      </c>
      <c r="C174" s="2" t="s">
        <v>50</v>
      </c>
      <c r="D174" s="3">
        <v>0.59375</v>
      </c>
      <c r="E174" s="3">
        <v>0.71875</v>
      </c>
      <c r="F174" s="2" t="s">
        <v>61</v>
      </c>
      <c r="G174" s="2" t="s">
        <v>199</v>
      </c>
      <c r="H174" s="2">
        <v>3</v>
      </c>
      <c r="I174" s="2" t="s">
        <v>274</v>
      </c>
      <c r="J174" s="2" t="s">
        <v>277</v>
      </c>
      <c r="K174" s="4" t="s">
        <v>278</v>
      </c>
      <c r="L174" s="2" t="str">
        <f>IFERROR(VLOOKUP(IFERROR(VLOOKUP(C174,'Destination Alias'!$A:$B,2,FALSE()),C174),'Best Months'!$A:$B,2,FALSE()),"Not listed")</f>
        <v>Dec–Mar</v>
      </c>
      <c r="S174" t="s">
        <v>278</v>
      </c>
    </row>
    <row r="175" spans="1:19" x14ac:dyDescent="0.3">
      <c r="A175" s="2" t="s">
        <v>276</v>
      </c>
      <c r="B175" s="2" t="s">
        <v>49</v>
      </c>
      <c r="C175" s="2" t="s">
        <v>50</v>
      </c>
      <c r="D175" s="3">
        <v>0.625</v>
      </c>
      <c r="E175" s="3">
        <v>0.75</v>
      </c>
      <c r="F175" s="2" t="s">
        <v>61</v>
      </c>
      <c r="G175" s="2" t="s">
        <v>73</v>
      </c>
      <c r="H175" s="2">
        <v>4</v>
      </c>
      <c r="I175" s="2" t="s">
        <v>274</v>
      </c>
      <c r="J175" s="2" t="s">
        <v>277</v>
      </c>
      <c r="K175" s="4" t="s">
        <v>278</v>
      </c>
      <c r="L175" s="2" t="str">
        <f>IFERROR(VLOOKUP(IFERROR(VLOOKUP(C175,'Destination Alias'!$A:$B,2,FALSE()),C175),'Best Months'!$A:$B,2,FALSE()),"Not listed")</f>
        <v>Dec–Mar</v>
      </c>
      <c r="S175" t="s">
        <v>278</v>
      </c>
    </row>
    <row r="176" spans="1:19" x14ac:dyDescent="0.3">
      <c r="A176" s="2" t="s">
        <v>276</v>
      </c>
      <c r="B176" s="2" t="s">
        <v>49</v>
      </c>
      <c r="C176" s="2" t="s">
        <v>50</v>
      </c>
      <c r="D176" s="3">
        <v>0.66666666666666696</v>
      </c>
      <c r="E176" s="3">
        <v>0.79166666666666696</v>
      </c>
      <c r="F176" s="2" t="s">
        <v>61</v>
      </c>
      <c r="G176" s="2" t="s">
        <v>73</v>
      </c>
      <c r="H176" s="2">
        <v>1</v>
      </c>
      <c r="I176" s="2" t="s">
        <v>274</v>
      </c>
      <c r="J176" s="2" t="s">
        <v>277</v>
      </c>
      <c r="K176" s="4" t="s">
        <v>278</v>
      </c>
      <c r="L176" s="2" t="str">
        <f>IFERROR(VLOOKUP(IFERROR(VLOOKUP(C176,'Destination Alias'!$A:$B,2,FALSE()),C176),'Best Months'!$A:$B,2,FALSE()),"Not listed")</f>
        <v>Dec–Mar</v>
      </c>
      <c r="S176" t="s">
        <v>278</v>
      </c>
    </row>
    <row r="177" spans="1:19" x14ac:dyDescent="0.3">
      <c r="A177" s="2" t="s">
        <v>276</v>
      </c>
      <c r="B177" s="2" t="s">
        <v>49</v>
      </c>
      <c r="C177" s="2" t="s">
        <v>50</v>
      </c>
      <c r="D177" s="3">
        <v>0.6875</v>
      </c>
      <c r="E177" s="3">
        <v>0.8125</v>
      </c>
      <c r="F177" s="2" t="s">
        <v>61</v>
      </c>
      <c r="G177" s="2" t="s">
        <v>73</v>
      </c>
      <c r="H177" s="2">
        <v>4</v>
      </c>
      <c r="I177" s="2" t="s">
        <v>274</v>
      </c>
      <c r="J177" s="2" t="s">
        <v>277</v>
      </c>
      <c r="K177" s="4" t="s">
        <v>278</v>
      </c>
      <c r="L177" s="2" t="str">
        <f>IFERROR(VLOOKUP(IFERROR(VLOOKUP(C177,'Destination Alias'!$A:$B,2,FALSE()),C177),'Best Months'!$A:$B,2,FALSE()),"Not listed")</f>
        <v>Dec–Mar</v>
      </c>
      <c r="S177" t="s">
        <v>278</v>
      </c>
    </row>
    <row r="178" spans="1:19" x14ac:dyDescent="0.3">
      <c r="A178" s="2" t="s">
        <v>276</v>
      </c>
      <c r="B178" s="2" t="s">
        <v>49</v>
      </c>
      <c r="C178" s="2" t="s">
        <v>50</v>
      </c>
      <c r="D178" s="3">
        <v>0.75</v>
      </c>
      <c r="E178" s="3">
        <v>0.875</v>
      </c>
      <c r="F178" s="2" t="s">
        <v>61</v>
      </c>
      <c r="G178" s="2" t="s">
        <v>102</v>
      </c>
      <c r="H178" s="2">
        <v>4</v>
      </c>
      <c r="I178" s="2" t="s">
        <v>274</v>
      </c>
      <c r="J178" s="2" t="s">
        <v>277</v>
      </c>
      <c r="K178" s="4" t="s">
        <v>278</v>
      </c>
      <c r="L178" s="2" t="str">
        <f>IFERROR(VLOOKUP(IFERROR(VLOOKUP(C178,'Destination Alias'!$A:$B,2,FALSE()),C178),'Best Months'!$A:$B,2,FALSE()),"Not listed")</f>
        <v>Dec–Mar</v>
      </c>
      <c r="S178" t="s">
        <v>278</v>
      </c>
    </row>
    <row r="179" spans="1:19" x14ac:dyDescent="0.3">
      <c r="A179" s="2" t="s">
        <v>276</v>
      </c>
      <c r="B179" s="2" t="s">
        <v>49</v>
      </c>
      <c r="C179" s="2" t="s">
        <v>50</v>
      </c>
      <c r="D179" s="3">
        <v>0.35416666666666702</v>
      </c>
      <c r="E179" s="3">
        <v>0.45833333333333298</v>
      </c>
      <c r="F179" s="2" t="s">
        <v>61</v>
      </c>
      <c r="G179" s="2" t="s">
        <v>16</v>
      </c>
      <c r="H179" s="2">
        <v>3.8</v>
      </c>
      <c r="I179" s="2" t="s">
        <v>274</v>
      </c>
      <c r="J179" s="2" t="s">
        <v>277</v>
      </c>
      <c r="K179" s="4" t="s">
        <v>278</v>
      </c>
      <c r="L179" s="2" t="str">
        <f>IFERROR(VLOOKUP(IFERROR(VLOOKUP(C179,'Destination Alias'!$A:$B,2,FALSE()),C179),'Best Months'!$A:$B,2,FALSE()),"Not listed")</f>
        <v>Dec–Mar</v>
      </c>
      <c r="S179" t="s">
        <v>278</v>
      </c>
    </row>
    <row r="180" spans="1:19" x14ac:dyDescent="0.3">
      <c r="A180" s="2" t="s">
        <v>276</v>
      </c>
      <c r="B180" s="2" t="s">
        <v>49</v>
      </c>
      <c r="C180" s="2" t="s">
        <v>50</v>
      </c>
      <c r="D180" s="3">
        <v>0.64583333333333304</v>
      </c>
      <c r="E180" s="3">
        <v>0.72916666666666696</v>
      </c>
      <c r="F180" s="2" t="s">
        <v>61</v>
      </c>
      <c r="G180" s="2" t="s">
        <v>73</v>
      </c>
      <c r="H180" s="2">
        <v>3.8</v>
      </c>
      <c r="I180" s="2" t="s">
        <v>274</v>
      </c>
      <c r="J180" s="2" t="s">
        <v>277</v>
      </c>
      <c r="K180" s="4" t="s">
        <v>278</v>
      </c>
      <c r="L180" s="2" t="str">
        <f>IFERROR(VLOOKUP(IFERROR(VLOOKUP(C180,'Destination Alias'!$A:$B,2,FALSE()),C180),'Best Months'!$A:$B,2,FALSE()),"Not listed")</f>
        <v>Dec–Mar</v>
      </c>
      <c r="S180" t="s">
        <v>278</v>
      </c>
    </row>
    <row r="181" spans="1:19" x14ac:dyDescent="0.3">
      <c r="A181" s="2" t="s">
        <v>276</v>
      </c>
      <c r="B181" s="2" t="s">
        <v>49</v>
      </c>
      <c r="C181" s="2" t="s">
        <v>50</v>
      </c>
      <c r="D181" s="3">
        <v>0.35416666666666702</v>
      </c>
      <c r="E181" s="3">
        <v>0.47916666666666702</v>
      </c>
      <c r="F181" s="2" t="s">
        <v>61</v>
      </c>
      <c r="G181" s="2" t="s">
        <v>16</v>
      </c>
      <c r="H181" s="2">
        <v>3.8</v>
      </c>
      <c r="I181" s="2" t="s">
        <v>274</v>
      </c>
      <c r="J181" s="2" t="s">
        <v>277</v>
      </c>
      <c r="K181" s="4" t="s">
        <v>278</v>
      </c>
      <c r="L181" s="2" t="str">
        <f>IFERROR(VLOOKUP(IFERROR(VLOOKUP(C181,'Destination Alias'!$A:$B,2,FALSE()),C181),'Best Months'!$A:$B,2,FALSE()),"Not listed")</f>
        <v>Dec–Mar</v>
      </c>
      <c r="S181" t="s">
        <v>278</v>
      </c>
    </row>
    <row r="182" spans="1:19" x14ac:dyDescent="0.3">
      <c r="A182" s="2" t="s">
        <v>279</v>
      </c>
      <c r="B182" s="2" t="s">
        <v>81</v>
      </c>
      <c r="C182" s="2" t="s">
        <v>250</v>
      </c>
      <c r="D182" s="3">
        <v>0.375</v>
      </c>
      <c r="E182" s="3">
        <v>0.39583333333333298</v>
      </c>
      <c r="F182" s="2" t="s">
        <v>233</v>
      </c>
      <c r="G182" s="2" t="s">
        <v>20</v>
      </c>
      <c r="H182" s="2">
        <v>4</v>
      </c>
      <c r="I182" s="2" t="s">
        <v>280</v>
      </c>
      <c r="J182" s="2" t="s">
        <v>281</v>
      </c>
      <c r="K182" s="2"/>
      <c r="L182" s="2" t="str">
        <f>IFERROR(VLOOKUP(IFERROR(VLOOKUP(C182,'Destination Alias'!$A:$B,2,FALSE()),C182),'Best Months'!$A:$B,2,FALSE()),"Not listed")</f>
        <v>Feb–Sep</v>
      </c>
    </row>
    <row r="183" spans="1:19" x14ac:dyDescent="0.3">
      <c r="A183" s="2" t="s">
        <v>279</v>
      </c>
      <c r="B183" s="2" t="s">
        <v>81</v>
      </c>
      <c r="C183" s="2" t="s">
        <v>250</v>
      </c>
      <c r="D183" s="3">
        <v>0.39583333333333298</v>
      </c>
      <c r="E183" s="3">
        <v>0.41666666666666702</v>
      </c>
      <c r="F183" s="2" t="s">
        <v>233</v>
      </c>
      <c r="G183" s="2" t="s">
        <v>20</v>
      </c>
      <c r="H183" s="2">
        <v>4</v>
      </c>
      <c r="I183" s="2" t="s">
        <v>280</v>
      </c>
      <c r="J183" s="2" t="s">
        <v>281</v>
      </c>
      <c r="K183" s="2"/>
      <c r="L183" s="2" t="str">
        <f>IFERROR(VLOOKUP(IFERROR(VLOOKUP(C183,'Destination Alias'!$A:$B,2,FALSE()),C183),'Best Months'!$A:$B,2,FALSE()),"Not listed")</f>
        <v>Feb–Sep</v>
      </c>
    </row>
    <row r="184" spans="1:19" x14ac:dyDescent="0.3">
      <c r="A184" s="2" t="s">
        <v>279</v>
      </c>
      <c r="B184" s="2" t="s">
        <v>81</v>
      </c>
      <c r="C184" s="2" t="s">
        <v>250</v>
      </c>
      <c r="D184" s="3">
        <v>0.41666666666666702</v>
      </c>
      <c r="E184" s="3">
        <v>0.4375</v>
      </c>
      <c r="F184" s="2" t="s">
        <v>233</v>
      </c>
      <c r="G184" s="2" t="s">
        <v>20</v>
      </c>
      <c r="H184" s="2">
        <v>4</v>
      </c>
      <c r="I184" s="2" t="s">
        <v>280</v>
      </c>
      <c r="J184" s="2" t="s">
        <v>281</v>
      </c>
      <c r="K184" s="2"/>
      <c r="L184" s="2" t="str">
        <f>IFERROR(VLOOKUP(IFERROR(VLOOKUP(C184,'Destination Alias'!$A:$B,2,FALSE()),C184),'Best Months'!$A:$B,2,FALSE()),"Not listed")</f>
        <v>Feb–Sep</v>
      </c>
    </row>
    <row r="185" spans="1:19" x14ac:dyDescent="0.3">
      <c r="A185" s="2" t="s">
        <v>279</v>
      </c>
      <c r="B185" s="2" t="s">
        <v>81</v>
      </c>
      <c r="C185" s="2" t="s">
        <v>250</v>
      </c>
      <c r="D185" s="3">
        <v>0.4375</v>
      </c>
      <c r="E185" s="3">
        <v>0.45833333333333298</v>
      </c>
      <c r="F185" s="2" t="s">
        <v>233</v>
      </c>
      <c r="G185" s="2" t="s">
        <v>20</v>
      </c>
      <c r="H185" s="2">
        <v>4</v>
      </c>
      <c r="I185" s="2" t="s">
        <v>280</v>
      </c>
      <c r="J185" s="2" t="s">
        <v>281</v>
      </c>
      <c r="K185" s="2"/>
      <c r="L185" s="2" t="str">
        <f>IFERROR(VLOOKUP(IFERROR(VLOOKUP(C185,'Destination Alias'!$A:$B,2,FALSE()),C185),'Best Months'!$A:$B,2,FALSE()),"Not listed")</f>
        <v>Feb–Sep</v>
      </c>
    </row>
    <row r="186" spans="1:19" x14ac:dyDescent="0.3">
      <c r="A186" s="2" t="s">
        <v>279</v>
      </c>
      <c r="B186" s="2" t="s">
        <v>81</v>
      </c>
      <c r="C186" s="2" t="s">
        <v>250</v>
      </c>
      <c r="D186" s="3">
        <v>0.45833333333333298</v>
      </c>
      <c r="E186" s="3">
        <v>0.47916666666666702</v>
      </c>
      <c r="F186" s="2" t="s">
        <v>233</v>
      </c>
      <c r="G186" s="2" t="s">
        <v>220</v>
      </c>
      <c r="H186" s="2">
        <v>4</v>
      </c>
      <c r="I186" s="2" t="s">
        <v>280</v>
      </c>
      <c r="J186" s="2" t="s">
        <v>281</v>
      </c>
      <c r="K186" s="2"/>
      <c r="L186" s="2" t="str">
        <f>IFERROR(VLOOKUP(IFERROR(VLOOKUP(C186,'Destination Alias'!$A:$B,2,FALSE()),C186),'Best Months'!$A:$B,2,FALSE()),"Not listed")</f>
        <v>Feb–Sep</v>
      </c>
    </row>
    <row r="187" spans="1:19" x14ac:dyDescent="0.3">
      <c r="A187" s="2" t="s">
        <v>279</v>
      </c>
      <c r="B187" s="2" t="s">
        <v>81</v>
      </c>
      <c r="C187" s="2" t="s">
        <v>250</v>
      </c>
      <c r="D187" s="3">
        <v>0.47916666666666702</v>
      </c>
      <c r="E187" s="3">
        <v>0.5</v>
      </c>
      <c r="F187" s="2" t="s">
        <v>233</v>
      </c>
      <c r="G187" s="2" t="s">
        <v>220</v>
      </c>
      <c r="H187" s="2">
        <v>4</v>
      </c>
      <c r="I187" s="2" t="s">
        <v>280</v>
      </c>
      <c r="J187" s="2" t="s">
        <v>281</v>
      </c>
      <c r="K187" s="2"/>
      <c r="L187" s="2" t="str">
        <f>IFERROR(VLOOKUP(IFERROR(VLOOKUP(C187,'Destination Alias'!$A:$B,2,FALSE()),C187),'Best Months'!$A:$B,2,FALSE()),"Not listed")</f>
        <v>Feb–Sep</v>
      </c>
    </row>
    <row r="188" spans="1:19" x14ac:dyDescent="0.3">
      <c r="A188" s="2" t="s">
        <v>282</v>
      </c>
      <c r="B188" s="2" t="s">
        <v>13</v>
      </c>
      <c r="C188" s="2" t="s">
        <v>250</v>
      </c>
      <c r="D188" s="3">
        <v>0.375</v>
      </c>
      <c r="E188" s="3">
        <v>0.39583333333333298</v>
      </c>
      <c r="F188" s="2" t="s">
        <v>233</v>
      </c>
      <c r="G188" s="2" t="s">
        <v>20</v>
      </c>
      <c r="H188" s="2">
        <v>4</v>
      </c>
      <c r="I188" s="2" t="s">
        <v>283</v>
      </c>
      <c r="J188" s="2" t="s">
        <v>284</v>
      </c>
      <c r="K188" s="2"/>
      <c r="L188" s="2" t="str">
        <f>IFERROR(VLOOKUP(IFERROR(VLOOKUP(C188,'Destination Alias'!$A:$B,2,FALSE()),C188),'Best Months'!$A:$B,2,FALSE()),"Not listed")</f>
        <v>Feb–Sep</v>
      </c>
    </row>
    <row r="189" spans="1:19" x14ac:dyDescent="0.3">
      <c r="A189" s="2" t="s">
        <v>282</v>
      </c>
      <c r="B189" s="2" t="s">
        <v>13</v>
      </c>
      <c r="C189" s="2" t="s">
        <v>250</v>
      </c>
      <c r="D189" s="3">
        <v>0.39583333333333298</v>
      </c>
      <c r="E189" s="3">
        <v>0.41666666666666702</v>
      </c>
      <c r="F189" s="2" t="s">
        <v>233</v>
      </c>
      <c r="G189" s="2" t="s">
        <v>20</v>
      </c>
      <c r="H189" s="2">
        <v>4</v>
      </c>
      <c r="I189" s="2" t="s">
        <v>283</v>
      </c>
      <c r="J189" s="2" t="s">
        <v>284</v>
      </c>
      <c r="K189" s="2"/>
      <c r="L189" s="2" t="str">
        <f>IFERROR(VLOOKUP(IFERROR(VLOOKUP(C189,'Destination Alias'!$A:$B,2,FALSE()),C189),'Best Months'!$A:$B,2,FALSE()),"Not listed")</f>
        <v>Feb–Sep</v>
      </c>
    </row>
    <row r="190" spans="1:19" x14ac:dyDescent="0.3">
      <c r="A190" s="2" t="s">
        <v>282</v>
      </c>
      <c r="B190" s="2" t="s">
        <v>13</v>
      </c>
      <c r="C190" s="2" t="s">
        <v>250</v>
      </c>
      <c r="D190" s="3">
        <v>0.41666666666666702</v>
      </c>
      <c r="E190" s="3">
        <v>0.4375</v>
      </c>
      <c r="F190" s="2" t="s">
        <v>233</v>
      </c>
      <c r="G190" s="2" t="s">
        <v>20</v>
      </c>
      <c r="H190" s="2">
        <v>4</v>
      </c>
      <c r="I190" s="2" t="s">
        <v>283</v>
      </c>
      <c r="J190" s="2" t="s">
        <v>284</v>
      </c>
      <c r="K190" s="2"/>
      <c r="L190" s="2" t="str">
        <f>IFERROR(VLOOKUP(IFERROR(VLOOKUP(C190,'Destination Alias'!$A:$B,2,FALSE()),C190),'Best Months'!$A:$B,2,FALSE()),"Not listed")</f>
        <v>Feb–Sep</v>
      </c>
    </row>
    <row r="191" spans="1:19" x14ac:dyDescent="0.3">
      <c r="A191" s="2" t="s">
        <v>282</v>
      </c>
      <c r="B191" s="2" t="s">
        <v>13</v>
      </c>
      <c r="C191" s="2" t="s">
        <v>250</v>
      </c>
      <c r="D191" s="3">
        <v>0.4375</v>
      </c>
      <c r="E191" s="3">
        <v>0.45833333333333298</v>
      </c>
      <c r="F191" s="2" t="s">
        <v>233</v>
      </c>
      <c r="G191" s="2" t="s">
        <v>20</v>
      </c>
      <c r="H191" s="2">
        <v>4</v>
      </c>
      <c r="I191" s="2" t="s">
        <v>283</v>
      </c>
      <c r="J191" s="2" t="s">
        <v>284</v>
      </c>
      <c r="K191" s="2"/>
      <c r="L191" s="2" t="str">
        <f>IFERROR(VLOOKUP(IFERROR(VLOOKUP(C191,'Destination Alias'!$A:$B,2,FALSE()),C191),'Best Months'!$A:$B,2,FALSE()),"Not listed")</f>
        <v>Feb–Sep</v>
      </c>
    </row>
    <row r="192" spans="1:19" x14ac:dyDescent="0.3">
      <c r="A192" s="2" t="s">
        <v>282</v>
      </c>
      <c r="B192" s="2" t="s">
        <v>13</v>
      </c>
      <c r="C192" s="2" t="s">
        <v>250</v>
      </c>
      <c r="D192" s="3">
        <v>0.45833333333333298</v>
      </c>
      <c r="E192" s="3">
        <v>0.47916666666666702</v>
      </c>
      <c r="F192" s="2" t="s">
        <v>233</v>
      </c>
      <c r="G192" s="2" t="s">
        <v>220</v>
      </c>
      <c r="H192" s="2">
        <v>4</v>
      </c>
      <c r="I192" s="2" t="s">
        <v>283</v>
      </c>
      <c r="J192" s="2" t="s">
        <v>284</v>
      </c>
      <c r="K192" s="2"/>
      <c r="L192" s="2" t="str">
        <f>IFERROR(VLOOKUP(IFERROR(VLOOKUP(C192,'Destination Alias'!$A:$B,2,FALSE()),C192),'Best Months'!$A:$B,2,FALSE()),"Not listed")</f>
        <v>Feb–Sep</v>
      </c>
    </row>
    <row r="193" spans="1:19" x14ac:dyDescent="0.3">
      <c r="A193" s="2" t="s">
        <v>282</v>
      </c>
      <c r="B193" s="2" t="s">
        <v>13</v>
      </c>
      <c r="C193" s="2" t="s">
        <v>250</v>
      </c>
      <c r="D193" s="3">
        <v>0.47916666666666702</v>
      </c>
      <c r="E193" s="3">
        <v>0.5</v>
      </c>
      <c r="F193" s="2" t="s">
        <v>233</v>
      </c>
      <c r="G193" s="2" t="s">
        <v>220</v>
      </c>
      <c r="H193" s="2">
        <v>4</v>
      </c>
      <c r="I193" s="2" t="s">
        <v>283</v>
      </c>
      <c r="J193" s="2" t="s">
        <v>284</v>
      </c>
      <c r="K193" s="2"/>
      <c r="L193" s="2" t="str">
        <f>IFERROR(VLOOKUP(IFERROR(VLOOKUP(C193,'Destination Alias'!$A:$B,2,FALSE()),C193),'Best Months'!$A:$B,2,FALSE()),"Not listed")</f>
        <v>Feb–Sep</v>
      </c>
    </row>
    <row r="194" spans="1:19" x14ac:dyDescent="0.3">
      <c r="A194" s="2" t="s">
        <v>285</v>
      </c>
      <c r="B194" s="2" t="s">
        <v>13</v>
      </c>
      <c r="C194" s="2" t="s">
        <v>250</v>
      </c>
      <c r="D194" s="3">
        <v>0.41666666666666702</v>
      </c>
      <c r="E194" s="3">
        <v>0.60416666666666696</v>
      </c>
      <c r="F194" s="2" t="s">
        <v>286</v>
      </c>
      <c r="G194" s="2" t="s">
        <v>20</v>
      </c>
      <c r="H194" s="2">
        <v>3</v>
      </c>
      <c r="I194" s="2" t="s">
        <v>287</v>
      </c>
      <c r="J194" s="2" t="s">
        <v>288</v>
      </c>
      <c r="K194" s="2"/>
      <c r="L194" s="2" t="str">
        <f>IFERROR(VLOOKUP(IFERROR(VLOOKUP(C194,'Destination Alias'!$A:$B,2,FALSE()),C194),'Best Months'!$A:$B,2,FALSE()),"Not listed")</f>
        <v>Feb–Sep</v>
      </c>
    </row>
    <row r="195" spans="1:19" x14ac:dyDescent="0.3">
      <c r="A195" s="2" t="s">
        <v>285</v>
      </c>
      <c r="B195" s="2" t="s">
        <v>13</v>
      </c>
      <c r="C195" s="2" t="s">
        <v>250</v>
      </c>
      <c r="D195" s="3">
        <v>0.4375</v>
      </c>
      <c r="E195" s="3">
        <v>0.72916666666666696</v>
      </c>
      <c r="F195" s="2" t="s">
        <v>286</v>
      </c>
      <c r="G195" s="2" t="s">
        <v>20</v>
      </c>
      <c r="H195" s="2">
        <v>4.3</v>
      </c>
      <c r="I195" s="2" t="s">
        <v>287</v>
      </c>
      <c r="J195" s="2" t="s">
        <v>288</v>
      </c>
      <c r="K195" s="2"/>
      <c r="L195" s="2" t="str">
        <f>IFERROR(VLOOKUP(IFERROR(VLOOKUP(C195,'Destination Alias'!$A:$B,2,FALSE()),C195),'Best Months'!$A:$B,2,FALSE()),"Not listed")</f>
        <v>Feb–Sep</v>
      </c>
    </row>
    <row r="196" spans="1:19" x14ac:dyDescent="0.3">
      <c r="A196" s="2" t="s">
        <v>285</v>
      </c>
      <c r="B196" s="2" t="s">
        <v>13</v>
      </c>
      <c r="C196" s="2" t="s">
        <v>250</v>
      </c>
      <c r="D196" s="3">
        <v>0.66666666666666696</v>
      </c>
      <c r="E196" s="3">
        <v>0.625</v>
      </c>
      <c r="F196" s="2" t="s">
        <v>286</v>
      </c>
      <c r="G196" s="2" t="s">
        <v>73</v>
      </c>
      <c r="H196" s="2">
        <v>4.3</v>
      </c>
      <c r="I196" s="2" t="s">
        <v>287</v>
      </c>
      <c r="J196" s="2" t="s">
        <v>288</v>
      </c>
      <c r="K196" s="2"/>
      <c r="L196" s="2" t="str">
        <f>IFERROR(VLOOKUP(IFERROR(VLOOKUP(C196,'Destination Alias'!$A:$B,2,FALSE()),C196),'Best Months'!$A:$B,2,FALSE()),"Not listed")</f>
        <v>Feb–Sep</v>
      </c>
    </row>
    <row r="197" spans="1:19" x14ac:dyDescent="0.3">
      <c r="A197" s="2" t="s">
        <v>285</v>
      </c>
      <c r="B197" s="2" t="s">
        <v>13</v>
      </c>
      <c r="C197" s="2" t="s">
        <v>250</v>
      </c>
      <c r="D197" s="3">
        <v>0.33333333333333298</v>
      </c>
      <c r="E197" s="3">
        <v>0.625</v>
      </c>
      <c r="F197" s="2" t="s">
        <v>286</v>
      </c>
      <c r="G197" s="2" t="s">
        <v>16</v>
      </c>
      <c r="H197" s="2">
        <v>4.3</v>
      </c>
      <c r="I197" s="2" t="s">
        <v>287</v>
      </c>
      <c r="J197" s="2" t="s">
        <v>288</v>
      </c>
      <c r="K197" s="2"/>
      <c r="L197" s="2" t="str">
        <f>IFERROR(VLOOKUP(IFERROR(VLOOKUP(C197,'Destination Alias'!$A:$B,2,FALSE()),C197),'Best Months'!$A:$B,2,FALSE()),"Not listed")</f>
        <v>Feb–Sep</v>
      </c>
    </row>
    <row r="198" spans="1:19" x14ac:dyDescent="0.3">
      <c r="A198" s="2" t="s">
        <v>285</v>
      </c>
      <c r="B198" s="2" t="s">
        <v>13</v>
      </c>
      <c r="C198" s="2" t="s">
        <v>250</v>
      </c>
      <c r="D198" s="3">
        <v>0.29166666666666702</v>
      </c>
      <c r="E198" s="3">
        <v>0.54166666666666696</v>
      </c>
      <c r="F198" s="2" t="s">
        <v>286</v>
      </c>
      <c r="G198" s="2" t="s">
        <v>38</v>
      </c>
      <c r="H198" s="2">
        <v>4.3</v>
      </c>
      <c r="I198" s="2" t="s">
        <v>287</v>
      </c>
      <c r="J198" s="2" t="s">
        <v>288</v>
      </c>
      <c r="K198" s="2"/>
      <c r="L198" s="2" t="str">
        <f>IFERROR(VLOOKUP(IFERROR(VLOOKUP(C198,'Destination Alias'!$A:$B,2,FALSE()),C198),'Best Months'!$A:$B,2,FALSE()),"Not listed")</f>
        <v>Feb–Sep</v>
      </c>
    </row>
    <row r="199" spans="1:19" x14ac:dyDescent="0.3">
      <c r="A199" s="2" t="s">
        <v>289</v>
      </c>
      <c r="B199" s="2" t="s">
        <v>81</v>
      </c>
      <c r="C199" s="2" t="s">
        <v>250</v>
      </c>
      <c r="D199" s="3">
        <v>0.35416666666666702</v>
      </c>
      <c r="E199" s="3">
        <v>0.39583333333333298</v>
      </c>
      <c r="F199" s="2" t="s">
        <v>35</v>
      </c>
      <c r="G199" s="2" t="s">
        <v>16</v>
      </c>
      <c r="H199" s="2">
        <v>4</v>
      </c>
      <c r="I199" s="2" t="s">
        <v>290</v>
      </c>
      <c r="J199" s="2" t="s">
        <v>291</v>
      </c>
      <c r="K199" s="2"/>
      <c r="L199" s="2" t="str">
        <f>IFERROR(VLOOKUP(IFERROR(VLOOKUP(C199,'Destination Alias'!$A:$B,2,FALSE()),C199),'Best Months'!$A:$B,2,FALSE()),"Not listed")</f>
        <v>Feb–Sep</v>
      </c>
    </row>
    <row r="200" spans="1:19" x14ac:dyDescent="0.3">
      <c r="A200" s="2" t="s">
        <v>289</v>
      </c>
      <c r="B200" s="2" t="s">
        <v>81</v>
      </c>
      <c r="C200" s="2" t="s">
        <v>250</v>
      </c>
      <c r="D200" s="3">
        <v>0.39583333333333298</v>
      </c>
      <c r="E200" s="3">
        <v>0.4375</v>
      </c>
      <c r="F200" s="2" t="s">
        <v>35</v>
      </c>
      <c r="G200" s="2" t="s">
        <v>20</v>
      </c>
      <c r="H200" s="2">
        <v>4</v>
      </c>
      <c r="I200" s="2" t="s">
        <v>290</v>
      </c>
      <c r="J200" s="2" t="s">
        <v>291</v>
      </c>
      <c r="K200" s="2"/>
      <c r="L200" s="2" t="str">
        <f>IFERROR(VLOOKUP(IFERROR(VLOOKUP(C200,'Destination Alias'!$A:$B,2,FALSE()),C200),'Best Months'!$A:$B,2,FALSE()),"Not listed")</f>
        <v>Feb–Sep</v>
      </c>
    </row>
    <row r="201" spans="1:19" x14ac:dyDescent="0.3">
      <c r="A201" s="2" t="s">
        <v>289</v>
      </c>
      <c r="B201" s="2" t="s">
        <v>81</v>
      </c>
      <c r="C201" s="2" t="s">
        <v>250</v>
      </c>
      <c r="D201" s="3">
        <v>0.4375</v>
      </c>
      <c r="E201" s="3">
        <v>0.47916666666666702</v>
      </c>
      <c r="F201" s="2" t="s">
        <v>35</v>
      </c>
      <c r="G201" s="2" t="s">
        <v>20</v>
      </c>
      <c r="H201" s="2">
        <v>4</v>
      </c>
      <c r="I201" s="2" t="s">
        <v>290</v>
      </c>
      <c r="J201" s="2" t="s">
        <v>291</v>
      </c>
      <c r="K201" s="2"/>
      <c r="L201" s="2" t="str">
        <f>IFERROR(VLOOKUP(IFERROR(VLOOKUP(C201,'Destination Alias'!$A:$B,2,FALSE()),C201),'Best Months'!$A:$B,2,FALSE()),"Not listed")</f>
        <v>Feb–Sep</v>
      </c>
    </row>
    <row r="202" spans="1:19" x14ac:dyDescent="0.3">
      <c r="A202" s="2" t="s">
        <v>292</v>
      </c>
      <c r="B202" s="2" t="s">
        <v>22</v>
      </c>
      <c r="C202" s="2" t="s">
        <v>137</v>
      </c>
      <c r="D202" s="3">
        <v>0.27083333333333298</v>
      </c>
      <c r="E202" s="3">
        <v>0.3125</v>
      </c>
      <c r="F202" s="2" t="s">
        <v>35</v>
      </c>
      <c r="G202" s="2" t="s">
        <v>28</v>
      </c>
      <c r="H202" s="2">
        <v>4.5999999999999996</v>
      </c>
      <c r="I202" s="2" t="s">
        <v>293</v>
      </c>
      <c r="J202" s="2" t="s">
        <v>294</v>
      </c>
      <c r="K202" s="4" t="s">
        <v>295</v>
      </c>
      <c r="L202" s="2" t="str">
        <f>IFERROR(VLOOKUP(IFERROR(VLOOKUP(C202,'Destination Alias'!$A:$B,2,FALSE()),C202),'Best Months'!$A:$B,2,FALSE()),"Not listed")</f>
        <v>Jan–Mar</v>
      </c>
      <c r="S202" t="s">
        <v>295</v>
      </c>
    </row>
    <row r="203" spans="1:19" x14ac:dyDescent="0.3">
      <c r="A203" s="2" t="s">
        <v>292</v>
      </c>
      <c r="B203" s="2" t="s">
        <v>22</v>
      </c>
      <c r="C203" s="2" t="s">
        <v>137</v>
      </c>
      <c r="D203" s="3">
        <v>0.3125</v>
      </c>
      <c r="E203" s="3">
        <v>0.35416666666666702</v>
      </c>
      <c r="F203" s="2" t="s">
        <v>35</v>
      </c>
      <c r="G203" s="2" t="s">
        <v>38</v>
      </c>
      <c r="H203" s="2">
        <v>4.5999999999999996</v>
      </c>
      <c r="I203" s="2" t="s">
        <v>293</v>
      </c>
      <c r="J203" s="2" t="s">
        <v>294</v>
      </c>
      <c r="K203" s="4" t="s">
        <v>295</v>
      </c>
      <c r="L203" s="2" t="str">
        <f>IFERROR(VLOOKUP(IFERROR(VLOOKUP(C203,'Destination Alias'!$A:$B,2,FALSE()),C203),'Best Months'!$A:$B,2,FALSE()),"Not listed")</f>
        <v>Jan–Mar</v>
      </c>
      <c r="S203" t="s">
        <v>295</v>
      </c>
    </row>
    <row r="204" spans="1:19" x14ac:dyDescent="0.3">
      <c r="A204" s="2" t="s">
        <v>292</v>
      </c>
      <c r="B204" s="2" t="s">
        <v>22</v>
      </c>
      <c r="C204" s="2" t="s">
        <v>137</v>
      </c>
      <c r="D204" s="3">
        <v>0.35416666666666702</v>
      </c>
      <c r="E204" s="3">
        <v>0.39583333333333298</v>
      </c>
      <c r="F204" s="2" t="s">
        <v>35</v>
      </c>
      <c r="G204" s="2" t="s">
        <v>16</v>
      </c>
      <c r="H204" s="2">
        <v>4.5999999999999996</v>
      </c>
      <c r="I204" s="2" t="s">
        <v>293</v>
      </c>
      <c r="J204" s="2" t="s">
        <v>294</v>
      </c>
      <c r="K204" s="4" t="s">
        <v>295</v>
      </c>
      <c r="L204" s="2" t="str">
        <f>IFERROR(VLOOKUP(IFERROR(VLOOKUP(C204,'Destination Alias'!$A:$B,2,FALSE()),C204),'Best Months'!$A:$B,2,FALSE()),"Not listed")</f>
        <v>Jan–Mar</v>
      </c>
      <c r="S204" t="s">
        <v>295</v>
      </c>
    </row>
    <row r="205" spans="1:19" x14ac:dyDescent="0.3">
      <c r="A205" s="2" t="s">
        <v>296</v>
      </c>
      <c r="B205" s="2" t="s">
        <v>13</v>
      </c>
      <c r="C205" s="2" t="s">
        <v>297</v>
      </c>
      <c r="D205" s="3">
        <v>0.25</v>
      </c>
      <c r="E205" s="3">
        <v>0.375</v>
      </c>
      <c r="F205" s="2" t="s">
        <v>90</v>
      </c>
      <c r="G205" s="2" t="s">
        <v>28</v>
      </c>
      <c r="H205" s="2">
        <v>3.9</v>
      </c>
      <c r="I205" s="2" t="s">
        <v>298</v>
      </c>
      <c r="J205" s="2" t="s">
        <v>299</v>
      </c>
      <c r="K205" s="2"/>
      <c r="L205" s="2" t="str">
        <f>IFERROR(VLOOKUP(IFERROR(VLOOKUP(C205,'Destination Alias'!$A:$B,2,FALSE()),C205),'Best Months'!$A:$B,2,FALSE()),"Not listed")</f>
        <v>Jan–Mar, Jul–Aug</v>
      </c>
    </row>
    <row r="206" spans="1:19" x14ac:dyDescent="0.3">
      <c r="A206" s="2" t="s">
        <v>296</v>
      </c>
      <c r="B206" s="2" t="s">
        <v>13</v>
      </c>
      <c r="C206" s="2" t="s">
        <v>297</v>
      </c>
      <c r="D206" s="3">
        <v>0.33333333333333298</v>
      </c>
      <c r="E206" s="3">
        <v>0.36458333333333298</v>
      </c>
      <c r="F206" s="2" t="s">
        <v>90</v>
      </c>
      <c r="G206" s="2" t="s">
        <v>16</v>
      </c>
      <c r="H206" s="2">
        <v>3.9</v>
      </c>
      <c r="I206" s="2" t="s">
        <v>298</v>
      </c>
      <c r="J206" s="2" t="s">
        <v>299</v>
      </c>
      <c r="K206" s="2"/>
      <c r="L206" s="2" t="str">
        <f>IFERROR(VLOOKUP(IFERROR(VLOOKUP(C206,'Destination Alias'!$A:$B,2,FALSE()),C206),'Best Months'!$A:$B,2,FALSE()),"Not listed")</f>
        <v>Jan–Mar, Jul–Aug</v>
      </c>
    </row>
    <row r="207" spans="1:19" x14ac:dyDescent="0.3">
      <c r="A207" s="2" t="s">
        <v>296</v>
      </c>
      <c r="B207" s="2" t="s">
        <v>13</v>
      </c>
      <c r="C207" s="2" t="s">
        <v>297</v>
      </c>
      <c r="D207" s="3">
        <v>0.36458333333333298</v>
      </c>
      <c r="E207" s="3">
        <v>0.39583333333333298</v>
      </c>
      <c r="F207" s="2" t="s">
        <v>90</v>
      </c>
      <c r="G207" s="2" t="s">
        <v>16</v>
      </c>
      <c r="H207" s="2">
        <v>3.9</v>
      </c>
      <c r="I207" s="2" t="s">
        <v>298</v>
      </c>
      <c r="J207" s="2" t="s">
        <v>299</v>
      </c>
      <c r="K207" s="2"/>
      <c r="L207" s="2" t="str">
        <f>IFERROR(VLOOKUP(IFERROR(VLOOKUP(C207,'Destination Alias'!$A:$B,2,FALSE()),C207),'Best Months'!$A:$B,2,FALSE()),"Not listed")</f>
        <v>Jan–Mar, Jul–Aug</v>
      </c>
    </row>
    <row r="208" spans="1:19" x14ac:dyDescent="0.3">
      <c r="A208" s="2" t="s">
        <v>296</v>
      </c>
      <c r="B208" s="2" t="s">
        <v>13</v>
      </c>
      <c r="C208" s="2" t="s">
        <v>297</v>
      </c>
      <c r="D208" s="3">
        <v>0.39583333333333298</v>
      </c>
      <c r="E208" s="3">
        <v>0.42708333333333298</v>
      </c>
      <c r="F208" s="2" t="s">
        <v>90</v>
      </c>
      <c r="G208" s="2" t="s">
        <v>20</v>
      </c>
      <c r="H208" s="2">
        <v>3.9</v>
      </c>
      <c r="I208" s="2" t="s">
        <v>298</v>
      </c>
      <c r="J208" s="2" t="s">
        <v>299</v>
      </c>
      <c r="K208" s="2"/>
      <c r="L208" s="2" t="str">
        <f>IFERROR(VLOOKUP(IFERROR(VLOOKUP(C208,'Destination Alias'!$A:$B,2,FALSE()),C208),'Best Months'!$A:$B,2,FALSE()),"Not listed")</f>
        <v>Jan–Mar, Jul–Aug</v>
      </c>
    </row>
    <row r="209" spans="1:19" x14ac:dyDescent="0.3">
      <c r="A209" s="2" t="s">
        <v>296</v>
      </c>
      <c r="B209" s="2" t="s">
        <v>13</v>
      </c>
      <c r="C209" s="2" t="s">
        <v>297</v>
      </c>
      <c r="D209" s="3">
        <v>0.42708333333333298</v>
      </c>
      <c r="E209" s="3">
        <v>0.45833333333333298</v>
      </c>
      <c r="F209" s="2" t="s">
        <v>90</v>
      </c>
      <c r="G209" s="2" t="s">
        <v>20</v>
      </c>
      <c r="H209" s="2">
        <v>3.9</v>
      </c>
      <c r="I209" s="2" t="s">
        <v>298</v>
      </c>
      <c r="J209" s="2" t="s">
        <v>299</v>
      </c>
      <c r="K209" s="2"/>
      <c r="L209" s="2" t="str">
        <f>IFERROR(VLOOKUP(IFERROR(VLOOKUP(C209,'Destination Alias'!$A:$B,2,FALSE()),C209),'Best Months'!$A:$B,2,FALSE()),"Not listed")</f>
        <v>Jan–Mar, Jul–Aug</v>
      </c>
    </row>
    <row r="210" spans="1:19" x14ac:dyDescent="0.3">
      <c r="A210" s="2" t="s">
        <v>300</v>
      </c>
      <c r="B210" s="2" t="s">
        <v>13</v>
      </c>
      <c r="C210" s="2" t="s">
        <v>213</v>
      </c>
      <c r="D210" s="3">
        <v>0.25</v>
      </c>
      <c r="E210" s="3">
        <v>0.375</v>
      </c>
      <c r="F210" s="2" t="s">
        <v>233</v>
      </c>
      <c r="G210" s="2" t="s">
        <v>28</v>
      </c>
      <c r="H210" s="2">
        <v>4</v>
      </c>
      <c r="I210" s="2" t="s">
        <v>301</v>
      </c>
      <c r="J210" s="2" t="s">
        <v>302</v>
      </c>
      <c r="K210" s="4" t="s">
        <v>303</v>
      </c>
      <c r="L210" s="2" t="str">
        <f>IFERROR(VLOOKUP(IFERROR(VLOOKUP(C210,'Destination Alias'!$A:$B,2,FALSE()),C210),'Best Months'!$A:$B,2,FALSE()),"Not listed")</f>
        <v>Jan–Mar</v>
      </c>
      <c r="S210" t="s">
        <v>303</v>
      </c>
    </row>
    <row r="211" spans="1:19" x14ac:dyDescent="0.3">
      <c r="A211" s="2" t="s">
        <v>300</v>
      </c>
      <c r="B211" s="2" t="s">
        <v>13</v>
      </c>
      <c r="C211" s="2" t="s">
        <v>213</v>
      </c>
      <c r="D211" s="3">
        <v>0.33333333333333298</v>
      </c>
      <c r="E211" s="3">
        <v>0.35416666666666702</v>
      </c>
      <c r="F211" s="2" t="s">
        <v>233</v>
      </c>
      <c r="G211" s="2" t="s">
        <v>16</v>
      </c>
      <c r="H211" s="2">
        <v>4</v>
      </c>
      <c r="I211" s="2" t="s">
        <v>301</v>
      </c>
      <c r="J211" s="2" t="s">
        <v>302</v>
      </c>
      <c r="K211" s="4" t="s">
        <v>303</v>
      </c>
      <c r="L211" s="2" t="str">
        <f>IFERROR(VLOOKUP(IFERROR(VLOOKUP(C211,'Destination Alias'!$A:$B,2,FALSE()),C211),'Best Months'!$A:$B,2,FALSE()),"Not listed")</f>
        <v>Jan–Mar</v>
      </c>
      <c r="S211" t="s">
        <v>303</v>
      </c>
    </row>
    <row r="212" spans="1:19" x14ac:dyDescent="0.3">
      <c r="A212" s="2" t="s">
        <v>300</v>
      </c>
      <c r="B212" s="2" t="s">
        <v>13</v>
      </c>
      <c r="C212" s="2" t="s">
        <v>213</v>
      </c>
      <c r="D212" s="3">
        <v>0.35416666666666702</v>
      </c>
      <c r="E212" s="3">
        <v>0.375</v>
      </c>
      <c r="F212" s="2" t="s">
        <v>233</v>
      </c>
      <c r="G212" s="2" t="s">
        <v>16</v>
      </c>
      <c r="H212" s="2">
        <v>4</v>
      </c>
      <c r="I212" s="2" t="s">
        <v>301</v>
      </c>
      <c r="J212" s="2" t="s">
        <v>302</v>
      </c>
      <c r="K212" s="4" t="s">
        <v>303</v>
      </c>
      <c r="L212" s="2" t="str">
        <f>IFERROR(VLOOKUP(IFERROR(VLOOKUP(C212,'Destination Alias'!$A:$B,2,FALSE()),C212),'Best Months'!$A:$B,2,FALSE()),"Not listed")</f>
        <v>Jan–Mar</v>
      </c>
      <c r="S212" t="s">
        <v>303</v>
      </c>
    </row>
    <row r="213" spans="1:19" x14ac:dyDescent="0.3">
      <c r="A213" s="2" t="s">
        <v>300</v>
      </c>
      <c r="B213" s="2" t="s">
        <v>13</v>
      </c>
      <c r="C213" s="2" t="s">
        <v>213</v>
      </c>
      <c r="D213" s="3">
        <v>0.375</v>
      </c>
      <c r="E213" s="3">
        <v>0.39583333333333298</v>
      </c>
      <c r="F213" s="2" t="s">
        <v>233</v>
      </c>
      <c r="G213" s="2" t="s">
        <v>20</v>
      </c>
      <c r="H213" s="2">
        <v>4</v>
      </c>
      <c r="I213" s="2" t="s">
        <v>301</v>
      </c>
      <c r="J213" s="2" t="s">
        <v>302</v>
      </c>
      <c r="K213" s="4" t="s">
        <v>303</v>
      </c>
      <c r="L213" s="2" t="str">
        <f>IFERROR(VLOOKUP(IFERROR(VLOOKUP(C213,'Destination Alias'!$A:$B,2,FALSE()),C213),'Best Months'!$A:$B,2,FALSE()),"Not listed")</f>
        <v>Jan–Mar</v>
      </c>
      <c r="S213" t="s">
        <v>303</v>
      </c>
    </row>
    <row r="214" spans="1:19" x14ac:dyDescent="0.3">
      <c r="A214" s="2" t="s">
        <v>300</v>
      </c>
      <c r="B214" s="2" t="s">
        <v>13</v>
      </c>
      <c r="C214" s="2" t="s">
        <v>213</v>
      </c>
      <c r="D214" s="3">
        <v>0.39583333333333298</v>
      </c>
      <c r="E214" s="3">
        <v>0.41666666666666702</v>
      </c>
      <c r="F214" s="2" t="s">
        <v>233</v>
      </c>
      <c r="G214" s="2" t="s">
        <v>20</v>
      </c>
      <c r="H214" s="2">
        <v>4</v>
      </c>
      <c r="I214" s="2" t="s">
        <v>301</v>
      </c>
      <c r="J214" s="2" t="s">
        <v>302</v>
      </c>
      <c r="K214" s="4" t="s">
        <v>303</v>
      </c>
      <c r="L214" s="2" t="str">
        <f>IFERROR(VLOOKUP(IFERROR(VLOOKUP(C214,'Destination Alias'!$A:$B,2,FALSE()),C214),'Best Months'!$A:$B,2,FALSE()),"Not listed")</f>
        <v>Jan–Mar</v>
      </c>
      <c r="S214" t="s">
        <v>303</v>
      </c>
    </row>
    <row r="215" spans="1:19" x14ac:dyDescent="0.3">
      <c r="A215" s="2" t="s">
        <v>300</v>
      </c>
      <c r="B215" s="2" t="s">
        <v>13</v>
      </c>
      <c r="C215" s="2" t="s">
        <v>213</v>
      </c>
      <c r="D215" s="3">
        <v>0.41666666666666702</v>
      </c>
      <c r="E215" s="3">
        <v>0.4375</v>
      </c>
      <c r="F215" s="2" t="s">
        <v>233</v>
      </c>
      <c r="G215" s="2" t="s">
        <v>20</v>
      </c>
      <c r="H215" s="2">
        <v>4</v>
      </c>
      <c r="I215" s="2" t="s">
        <v>301</v>
      </c>
      <c r="J215" s="2" t="s">
        <v>302</v>
      </c>
      <c r="K215" s="4" t="s">
        <v>303</v>
      </c>
      <c r="L215" s="2" t="str">
        <f>IFERROR(VLOOKUP(IFERROR(VLOOKUP(C215,'Destination Alias'!$A:$B,2,FALSE()),C215),'Best Months'!$A:$B,2,FALSE()),"Not listed")</f>
        <v>Jan–Mar</v>
      </c>
      <c r="S215" t="s">
        <v>303</v>
      </c>
    </row>
    <row r="216" spans="1:19" x14ac:dyDescent="0.3">
      <c r="A216" s="2" t="s">
        <v>300</v>
      </c>
      <c r="B216" s="2" t="s">
        <v>13</v>
      </c>
      <c r="C216" s="2" t="s">
        <v>213</v>
      </c>
      <c r="D216" s="3">
        <v>0.4375</v>
      </c>
      <c r="E216" s="3">
        <v>0.45833333333333298</v>
      </c>
      <c r="F216" s="2" t="s">
        <v>233</v>
      </c>
      <c r="G216" s="2" t="s">
        <v>20</v>
      </c>
      <c r="H216" s="2">
        <v>4</v>
      </c>
      <c r="I216" s="2" t="s">
        <v>301</v>
      </c>
      <c r="J216" s="2" t="s">
        <v>302</v>
      </c>
      <c r="K216" s="4" t="s">
        <v>303</v>
      </c>
      <c r="L216" s="2" t="str">
        <f>IFERROR(VLOOKUP(IFERROR(VLOOKUP(C216,'Destination Alias'!$A:$B,2,FALSE()),C216),'Best Months'!$A:$B,2,FALSE()),"Not listed")</f>
        <v>Jan–Mar</v>
      </c>
      <c r="S216" t="s">
        <v>303</v>
      </c>
    </row>
    <row r="217" spans="1:19" x14ac:dyDescent="0.3">
      <c r="A217" s="2" t="s">
        <v>304</v>
      </c>
      <c r="B217" s="2" t="s">
        <v>22</v>
      </c>
      <c r="C217" s="2" t="s">
        <v>119</v>
      </c>
      <c r="D217" s="3">
        <v>0.29166666666666702</v>
      </c>
      <c r="E217" s="3">
        <v>0.45833333333333298</v>
      </c>
      <c r="F217" s="2" t="s">
        <v>129</v>
      </c>
      <c r="G217" s="2" t="s">
        <v>38</v>
      </c>
      <c r="H217" s="2">
        <v>4.7</v>
      </c>
      <c r="I217" s="2" t="s">
        <v>305</v>
      </c>
      <c r="J217" s="2" t="s">
        <v>306</v>
      </c>
      <c r="K217" s="2"/>
      <c r="L217" s="2" t="str">
        <f>IFERROR(VLOOKUP(IFERROR(VLOOKUP(C217,'Destination Alias'!$A:$B,2,FALSE()),C217),'Best Months'!$A:$B,2,FALSE()),"Not listed")</f>
        <v>Jan–Mar</v>
      </c>
    </row>
    <row r="218" spans="1:19" x14ac:dyDescent="0.3">
      <c r="A218" s="2" t="s">
        <v>307</v>
      </c>
      <c r="B218" s="2" t="s">
        <v>13</v>
      </c>
      <c r="C218" s="2" t="s">
        <v>40</v>
      </c>
      <c r="D218" s="3">
        <v>0.25</v>
      </c>
      <c r="E218" s="3">
        <v>0.41666666666666702</v>
      </c>
      <c r="F218" s="2" t="s">
        <v>129</v>
      </c>
      <c r="G218" s="2" t="s">
        <v>28</v>
      </c>
      <c r="H218" s="2">
        <v>5</v>
      </c>
      <c r="I218" s="2" t="s">
        <v>308</v>
      </c>
      <c r="J218" s="2" t="s">
        <v>309</v>
      </c>
      <c r="K218" s="4" t="s">
        <v>310</v>
      </c>
      <c r="L218" s="2" t="str">
        <f>IFERROR(VLOOKUP(IFERROR(VLOOKUP(C218,'Destination Alias'!$A:$B,2,FALSE()),C218),'Best Months'!$A:$B,2,FALSE()),"Not listed")</f>
        <v>Jan–Mar, Jul–Aug</v>
      </c>
      <c r="S218" t="s">
        <v>310</v>
      </c>
    </row>
    <row r="219" spans="1:19" x14ac:dyDescent="0.3">
      <c r="A219" s="2" t="s">
        <v>307</v>
      </c>
      <c r="B219" s="2" t="s">
        <v>13</v>
      </c>
      <c r="C219" s="2" t="s">
        <v>40</v>
      </c>
      <c r="D219" s="3">
        <v>0.27083333333333298</v>
      </c>
      <c r="E219" s="3">
        <v>0.4375</v>
      </c>
      <c r="F219" s="2" t="s">
        <v>129</v>
      </c>
      <c r="G219" s="2" t="s">
        <v>28</v>
      </c>
      <c r="H219" s="2">
        <v>5</v>
      </c>
      <c r="I219" s="2" t="s">
        <v>308</v>
      </c>
      <c r="J219" s="2" t="s">
        <v>309</v>
      </c>
      <c r="K219" s="4" t="s">
        <v>310</v>
      </c>
      <c r="L219" s="2" t="str">
        <f>IFERROR(VLOOKUP(IFERROR(VLOOKUP(C219,'Destination Alias'!$A:$B,2,FALSE()),C219),'Best Months'!$A:$B,2,FALSE()),"Not listed")</f>
        <v>Jan–Mar, Jul–Aug</v>
      </c>
      <c r="S219" t="s">
        <v>310</v>
      </c>
    </row>
    <row r="220" spans="1:19" x14ac:dyDescent="0.3">
      <c r="A220" s="2" t="s">
        <v>307</v>
      </c>
      <c r="B220" s="2" t="s">
        <v>13</v>
      </c>
      <c r="C220" s="2" t="s">
        <v>40</v>
      </c>
      <c r="D220" s="3">
        <v>0.35416666666666702</v>
      </c>
      <c r="E220" s="3">
        <v>0.52083333333333304</v>
      </c>
      <c r="F220" s="2" t="s">
        <v>129</v>
      </c>
      <c r="G220" s="2" t="s">
        <v>16</v>
      </c>
      <c r="H220" s="2">
        <v>4</v>
      </c>
      <c r="I220" s="2" t="s">
        <v>308</v>
      </c>
      <c r="J220" s="2" t="s">
        <v>309</v>
      </c>
      <c r="K220" s="4" t="s">
        <v>310</v>
      </c>
      <c r="L220" s="2" t="str">
        <f>IFERROR(VLOOKUP(IFERROR(VLOOKUP(C220,'Destination Alias'!$A:$B,2,FALSE()),C220),'Best Months'!$A:$B,2,FALSE()),"Not listed")</f>
        <v>Jan–Mar, Jul–Aug</v>
      </c>
      <c r="S220" t="s">
        <v>310</v>
      </c>
    </row>
    <row r="221" spans="1:19" x14ac:dyDescent="0.3">
      <c r="A221" s="2" t="s">
        <v>307</v>
      </c>
      <c r="B221" s="2" t="s">
        <v>13</v>
      </c>
      <c r="C221" s="2" t="s">
        <v>40</v>
      </c>
      <c r="D221" s="3">
        <v>0.33333333333333298</v>
      </c>
      <c r="E221" s="3">
        <v>0.5</v>
      </c>
      <c r="F221" s="2" t="s">
        <v>129</v>
      </c>
      <c r="G221" s="2" t="s">
        <v>16</v>
      </c>
      <c r="H221" s="2">
        <v>4.5</v>
      </c>
      <c r="I221" s="2" t="s">
        <v>308</v>
      </c>
      <c r="J221" s="2" t="s">
        <v>309</v>
      </c>
      <c r="K221" s="4" t="s">
        <v>310</v>
      </c>
      <c r="L221" s="2" t="str">
        <f>IFERROR(VLOOKUP(IFERROR(VLOOKUP(C221,'Destination Alias'!$A:$B,2,FALSE()),C221),'Best Months'!$A:$B,2,FALSE()),"Not listed")</f>
        <v>Jan–Mar, Jul–Aug</v>
      </c>
      <c r="S221" t="s">
        <v>310</v>
      </c>
    </row>
    <row r="222" spans="1:19" x14ac:dyDescent="0.3">
      <c r="A222" s="2" t="s">
        <v>311</v>
      </c>
      <c r="B222" s="2" t="s">
        <v>13</v>
      </c>
      <c r="C222" s="2" t="s">
        <v>50</v>
      </c>
      <c r="D222" s="3">
        <v>0.72916666666666696</v>
      </c>
      <c r="E222" s="3">
        <v>0.83333333333333304</v>
      </c>
      <c r="F222" s="2" t="s">
        <v>15</v>
      </c>
      <c r="G222" s="2" t="s">
        <v>52</v>
      </c>
      <c r="H222" s="2">
        <v>4.3</v>
      </c>
      <c r="I222" s="2" t="s">
        <v>312</v>
      </c>
      <c r="J222" s="2" t="s">
        <v>313</v>
      </c>
      <c r="K222" s="2"/>
      <c r="L222" s="2" t="str">
        <f>IFERROR(VLOOKUP(IFERROR(VLOOKUP(C222,'Destination Alias'!$A:$B,2,FALSE()),C222),'Best Months'!$A:$B,2,FALSE()),"Not listed")</f>
        <v>Dec–Mar</v>
      </c>
    </row>
    <row r="223" spans="1:19" x14ac:dyDescent="0.3">
      <c r="A223" s="2" t="s">
        <v>311</v>
      </c>
      <c r="B223" s="2" t="s">
        <v>13</v>
      </c>
      <c r="C223" s="2" t="s">
        <v>50</v>
      </c>
      <c r="D223" s="3">
        <v>0.66666666666666696</v>
      </c>
      <c r="E223" s="3">
        <v>0.72916666666666696</v>
      </c>
      <c r="F223" s="2" t="s">
        <v>15</v>
      </c>
      <c r="G223" s="2" t="s">
        <v>73</v>
      </c>
      <c r="H223" s="2">
        <v>4.3</v>
      </c>
      <c r="I223" s="2" t="s">
        <v>312</v>
      </c>
      <c r="J223" s="2" t="s">
        <v>313</v>
      </c>
      <c r="K223" s="2"/>
      <c r="L223" s="2" t="str">
        <f>IFERROR(VLOOKUP(IFERROR(VLOOKUP(C223,'Destination Alias'!$A:$B,2,FALSE()),C223),'Best Months'!$A:$B,2,FALSE()),"Not listed")</f>
        <v>Dec–Mar</v>
      </c>
    </row>
    <row r="224" spans="1:19" x14ac:dyDescent="0.3">
      <c r="A224" s="2" t="s">
        <v>311</v>
      </c>
      <c r="B224" s="2" t="s">
        <v>13</v>
      </c>
      <c r="C224" s="2" t="s">
        <v>50</v>
      </c>
      <c r="D224" s="3">
        <v>0.72916666666666696</v>
      </c>
      <c r="E224" s="3">
        <v>0.79166666666666696</v>
      </c>
      <c r="F224" s="2" t="s">
        <v>15</v>
      </c>
      <c r="G224" s="2" t="s">
        <v>52</v>
      </c>
      <c r="H224" s="2">
        <v>4.3</v>
      </c>
      <c r="I224" s="2" t="s">
        <v>312</v>
      </c>
      <c r="J224" s="2" t="s">
        <v>313</v>
      </c>
      <c r="K224" s="2"/>
      <c r="L224" s="2" t="str">
        <f>IFERROR(VLOOKUP(IFERROR(VLOOKUP(C224,'Destination Alias'!$A:$B,2,FALSE()),C224),'Best Months'!$A:$B,2,FALSE()),"Not listed")</f>
        <v>Dec–Mar</v>
      </c>
    </row>
    <row r="225" spans="1:19" x14ac:dyDescent="0.3">
      <c r="A225" s="2" t="s">
        <v>314</v>
      </c>
      <c r="B225" s="2" t="s">
        <v>22</v>
      </c>
      <c r="C225" s="2" t="s">
        <v>44</v>
      </c>
      <c r="D225" s="3">
        <v>0.27083333333333298</v>
      </c>
      <c r="E225" s="3">
        <v>0.39583333333333298</v>
      </c>
      <c r="F225" s="2" t="s">
        <v>61</v>
      </c>
      <c r="G225" s="2" t="s">
        <v>28</v>
      </c>
      <c r="H225" s="2">
        <v>4.3</v>
      </c>
      <c r="I225" s="2" t="s">
        <v>315</v>
      </c>
      <c r="J225" s="2" t="s">
        <v>316</v>
      </c>
      <c r="K225" s="4" t="s">
        <v>317</v>
      </c>
      <c r="L225" s="2" t="str">
        <f>IFERROR(VLOOKUP(IFERROR(VLOOKUP(C225,'Destination Alias'!$A:$B,2,FALSE()),C225),'Best Months'!$A:$B,2,FALSE()),"Not listed")</f>
        <v>Jan–Mar, Jul–Sep</v>
      </c>
      <c r="S225" t="s">
        <v>317</v>
      </c>
    </row>
    <row r="226" spans="1:19" x14ac:dyDescent="0.3">
      <c r="A226" s="2" t="s">
        <v>318</v>
      </c>
      <c r="B226" s="2" t="s">
        <v>49</v>
      </c>
      <c r="C226" s="2" t="s">
        <v>65</v>
      </c>
      <c r="D226" s="3">
        <v>0.66666666666666696</v>
      </c>
      <c r="E226" s="3">
        <v>0.70833333333333304</v>
      </c>
      <c r="F226" s="2" t="s">
        <v>35</v>
      </c>
      <c r="G226" s="2" t="s">
        <v>73</v>
      </c>
      <c r="H226" s="2">
        <v>4.5</v>
      </c>
      <c r="I226" s="2" t="s">
        <v>319</v>
      </c>
      <c r="J226" s="2" t="s">
        <v>320</v>
      </c>
      <c r="K226" s="4" t="s">
        <v>321</v>
      </c>
      <c r="L226" s="2" t="str">
        <f>IFERROR(VLOOKUP(IFERROR(VLOOKUP(C226,'Destination Alias'!$A:$B,2,FALSE()),C226),'Best Months'!$A:$B,2,FALSE()),"Not listed")</f>
        <v>Dec–Mar</v>
      </c>
      <c r="S226" t="s">
        <v>321</v>
      </c>
    </row>
    <row r="227" spans="1:19" x14ac:dyDescent="0.3">
      <c r="A227" s="2" t="s">
        <v>318</v>
      </c>
      <c r="B227" s="2" t="s">
        <v>49</v>
      </c>
      <c r="C227" s="2" t="s">
        <v>65</v>
      </c>
      <c r="D227" s="3">
        <v>0.70833333333333304</v>
      </c>
      <c r="E227" s="3">
        <v>0.75</v>
      </c>
      <c r="F227" s="2" t="s">
        <v>35</v>
      </c>
      <c r="G227" s="2" t="s">
        <v>52</v>
      </c>
      <c r="H227" s="2">
        <v>4.5</v>
      </c>
      <c r="I227" s="2" t="s">
        <v>319</v>
      </c>
      <c r="J227" s="2" t="s">
        <v>320</v>
      </c>
      <c r="K227" s="4" t="s">
        <v>321</v>
      </c>
      <c r="L227" s="2" t="str">
        <f>IFERROR(VLOOKUP(IFERROR(VLOOKUP(C227,'Destination Alias'!$A:$B,2,FALSE()),C227),'Best Months'!$A:$B,2,FALSE()),"Not listed")</f>
        <v>Dec–Mar</v>
      </c>
      <c r="S227" t="s">
        <v>321</v>
      </c>
    </row>
    <row r="228" spans="1:19" x14ac:dyDescent="0.3">
      <c r="A228" s="2" t="s">
        <v>322</v>
      </c>
      <c r="B228" s="2" t="s">
        <v>22</v>
      </c>
      <c r="C228" s="2" t="s">
        <v>323</v>
      </c>
      <c r="D228" s="3">
        <v>0.27083333333333298</v>
      </c>
      <c r="E228" s="3">
        <v>0.3125</v>
      </c>
      <c r="F228" s="2" t="s">
        <v>35</v>
      </c>
      <c r="G228" s="2" t="s">
        <v>28</v>
      </c>
      <c r="H228" s="2">
        <v>4.5</v>
      </c>
      <c r="I228" s="2" t="s">
        <v>324</v>
      </c>
      <c r="J228" s="2" t="s">
        <v>325</v>
      </c>
      <c r="K228" s="2"/>
      <c r="L228" s="2" t="str">
        <f>IFERROR(VLOOKUP(IFERROR(VLOOKUP(C228,'Destination Alias'!$A:$B,2,FALSE()),C228),'Best Months'!$A:$B,2,FALSE()),"Not listed")</f>
        <v>Jan–Mar, Jul–Aug</v>
      </c>
    </row>
    <row r="229" spans="1:19" x14ac:dyDescent="0.3">
      <c r="A229" s="2" t="s">
        <v>322</v>
      </c>
      <c r="B229" s="2" t="s">
        <v>22</v>
      </c>
      <c r="C229" s="2" t="s">
        <v>323</v>
      </c>
      <c r="D229" s="3">
        <v>0.3125</v>
      </c>
      <c r="E229" s="3">
        <v>0.35416666666666702</v>
      </c>
      <c r="F229" s="2" t="s">
        <v>35</v>
      </c>
      <c r="G229" s="2" t="s">
        <v>38</v>
      </c>
      <c r="H229" s="2">
        <v>4.5</v>
      </c>
      <c r="I229" s="2" t="s">
        <v>324</v>
      </c>
      <c r="J229" s="2" t="s">
        <v>325</v>
      </c>
      <c r="K229" s="2"/>
      <c r="L229" s="2" t="str">
        <f>IFERROR(VLOOKUP(IFERROR(VLOOKUP(C229,'Destination Alias'!$A:$B,2,FALSE()),C229),'Best Months'!$A:$B,2,FALSE()),"Not listed")</f>
        <v>Jan–Mar, Jul–Aug</v>
      </c>
    </row>
    <row r="230" spans="1:19" x14ac:dyDescent="0.3">
      <c r="A230" s="2" t="s">
        <v>322</v>
      </c>
      <c r="B230" s="2" t="s">
        <v>22</v>
      </c>
      <c r="C230" s="2" t="s">
        <v>323</v>
      </c>
      <c r="D230" s="3">
        <v>0.35416666666666702</v>
      </c>
      <c r="E230" s="3">
        <v>0.39583333333333298</v>
      </c>
      <c r="F230" s="2" t="s">
        <v>35</v>
      </c>
      <c r="G230" s="2" t="s">
        <v>16</v>
      </c>
      <c r="H230" s="2">
        <v>4.5</v>
      </c>
      <c r="I230" s="2" t="s">
        <v>324</v>
      </c>
      <c r="J230" s="2" t="s">
        <v>325</v>
      </c>
      <c r="K230" s="2"/>
      <c r="L230" s="2" t="str">
        <f>IFERROR(VLOOKUP(IFERROR(VLOOKUP(C230,'Destination Alias'!$A:$B,2,FALSE()),C230),'Best Months'!$A:$B,2,FALSE()),"Not listed")</f>
        <v>Jan–Mar, Jul–Aug</v>
      </c>
    </row>
    <row r="231" spans="1:19" x14ac:dyDescent="0.3">
      <c r="A231" s="2" t="s">
        <v>326</v>
      </c>
      <c r="B231" s="2" t="s">
        <v>49</v>
      </c>
      <c r="C231" s="2" t="s">
        <v>14</v>
      </c>
      <c r="D231" s="3">
        <v>0.29166666666666702</v>
      </c>
      <c r="E231" s="3">
        <v>0.375</v>
      </c>
      <c r="F231" s="2" t="s">
        <v>51</v>
      </c>
      <c r="G231" s="2" t="s">
        <v>38</v>
      </c>
      <c r="H231" s="2">
        <v>4.7</v>
      </c>
      <c r="I231" s="2" t="s">
        <v>327</v>
      </c>
      <c r="J231" s="2" t="s">
        <v>328</v>
      </c>
      <c r="K231" s="4" t="s">
        <v>329</v>
      </c>
      <c r="L231" s="2" t="str">
        <f>IFERROR(VLOOKUP(IFERROR(VLOOKUP(C231,'Destination Alias'!$A:$B,2,FALSE()),C231),'Best Months'!$A:$B,2,FALSE()),"Not listed")</f>
        <v>Dec–Mar</v>
      </c>
      <c r="S231" t="s">
        <v>329</v>
      </c>
    </row>
    <row r="232" spans="1:19" x14ac:dyDescent="0.3">
      <c r="A232" s="2" t="s">
        <v>330</v>
      </c>
      <c r="B232" s="2" t="s">
        <v>13</v>
      </c>
      <c r="C232" s="2" t="s">
        <v>108</v>
      </c>
      <c r="D232" s="3">
        <v>0.3125</v>
      </c>
      <c r="E232" s="3">
        <v>0.4375</v>
      </c>
      <c r="F232" s="2" t="s">
        <v>61</v>
      </c>
      <c r="G232" s="2" t="s">
        <v>38</v>
      </c>
      <c r="H232" s="2">
        <v>4.4000000000000004</v>
      </c>
      <c r="I232" s="2" t="s">
        <v>331</v>
      </c>
      <c r="J232" s="2" t="s">
        <v>332</v>
      </c>
      <c r="K232" s="4" t="s">
        <v>333</v>
      </c>
      <c r="L232" s="2" t="str">
        <f>IFERROR(VLOOKUP(IFERROR(VLOOKUP(C232,'Destination Alias'!$A:$B,2,FALSE()),C232),'Best Months'!$A:$B,2,FALSE()),"Not listed")</f>
        <v>Jan–Mar, Jul–Aug</v>
      </c>
      <c r="S232" t="s">
        <v>333</v>
      </c>
    </row>
    <row r="233" spans="1:19" x14ac:dyDescent="0.3">
      <c r="A233" s="2" t="s">
        <v>334</v>
      </c>
      <c r="B233" s="2" t="s">
        <v>13</v>
      </c>
      <c r="C233" s="2" t="s">
        <v>137</v>
      </c>
      <c r="D233" s="3">
        <v>0.33333333333333298</v>
      </c>
      <c r="E233" s="3">
        <v>0.39583333333333298</v>
      </c>
      <c r="F233" s="2" t="s">
        <v>15</v>
      </c>
      <c r="G233" s="2" t="s">
        <v>16</v>
      </c>
      <c r="H233" s="2">
        <v>4</v>
      </c>
      <c r="I233" s="2" t="s">
        <v>17</v>
      </c>
      <c r="J233" s="2" t="s">
        <v>335</v>
      </c>
      <c r="K233" s="4" t="s">
        <v>336</v>
      </c>
      <c r="L233" s="2" t="str">
        <f>IFERROR(VLOOKUP(IFERROR(VLOOKUP(C233,'Destination Alias'!$A:$B,2,FALSE()),C233),'Best Months'!$A:$B,2,FALSE()),"Not listed")</f>
        <v>Jan–Mar</v>
      </c>
      <c r="S233" t="s">
        <v>336</v>
      </c>
    </row>
    <row r="234" spans="1:19" x14ac:dyDescent="0.3">
      <c r="A234" s="2" t="s">
        <v>334</v>
      </c>
      <c r="B234" s="2" t="s">
        <v>13</v>
      </c>
      <c r="C234" s="2" t="s">
        <v>137</v>
      </c>
      <c r="D234" s="3">
        <v>0.39583333333333298</v>
      </c>
      <c r="E234" s="3">
        <v>0.45833333333333298</v>
      </c>
      <c r="F234" s="2" t="s">
        <v>15</v>
      </c>
      <c r="G234" s="2" t="s">
        <v>20</v>
      </c>
      <c r="H234" s="2">
        <v>4</v>
      </c>
      <c r="I234" s="2" t="s">
        <v>17</v>
      </c>
      <c r="J234" s="2" t="s">
        <v>335</v>
      </c>
      <c r="K234" s="4" t="s">
        <v>336</v>
      </c>
      <c r="L234" s="2" t="str">
        <f>IFERROR(VLOOKUP(IFERROR(VLOOKUP(C234,'Destination Alias'!$A:$B,2,FALSE()),C234),'Best Months'!$A:$B,2,FALSE()),"Not listed")</f>
        <v>Jan–Mar</v>
      </c>
      <c r="S234" t="s">
        <v>336</v>
      </c>
    </row>
    <row r="235" spans="1:19" x14ac:dyDescent="0.3">
      <c r="A235" s="2" t="s">
        <v>337</v>
      </c>
      <c r="B235" s="2" t="s">
        <v>13</v>
      </c>
      <c r="C235" s="2" t="s">
        <v>40</v>
      </c>
      <c r="D235" s="3">
        <v>0.25</v>
      </c>
      <c r="E235" s="3">
        <v>0.375</v>
      </c>
      <c r="F235" s="2" t="s">
        <v>51</v>
      </c>
      <c r="G235" s="2" t="s">
        <v>28</v>
      </c>
      <c r="H235" s="2">
        <v>4.3</v>
      </c>
      <c r="I235" s="2" t="s">
        <v>338</v>
      </c>
      <c r="J235" s="2" t="s">
        <v>339</v>
      </c>
      <c r="K235" s="4" t="s">
        <v>340</v>
      </c>
      <c r="L235" s="2" t="str">
        <f>IFERROR(VLOOKUP(IFERROR(VLOOKUP(C235,'Destination Alias'!$A:$B,2,FALSE()),C235),'Best Months'!$A:$B,2,FALSE()),"Not listed")</f>
        <v>Jan–Mar, Jul–Aug</v>
      </c>
      <c r="S235" t="s">
        <v>340</v>
      </c>
    </row>
    <row r="236" spans="1:19" x14ac:dyDescent="0.3">
      <c r="A236" s="2" t="s">
        <v>337</v>
      </c>
      <c r="B236" s="2" t="s">
        <v>13</v>
      </c>
      <c r="C236" s="2" t="s">
        <v>40</v>
      </c>
      <c r="D236" s="3">
        <v>0.64583333333333304</v>
      </c>
      <c r="E236" s="3">
        <v>0.72916666666666696</v>
      </c>
      <c r="F236" s="2" t="s">
        <v>51</v>
      </c>
      <c r="G236" s="2" t="s">
        <v>73</v>
      </c>
      <c r="H236" s="2">
        <v>4.3</v>
      </c>
      <c r="I236" s="2" t="s">
        <v>338</v>
      </c>
      <c r="J236" s="2" t="s">
        <v>339</v>
      </c>
      <c r="K236" s="4" t="s">
        <v>340</v>
      </c>
      <c r="L236" s="2" t="str">
        <f>IFERROR(VLOOKUP(IFERROR(VLOOKUP(C236,'Destination Alias'!$A:$B,2,FALSE()),C236),'Best Months'!$A:$B,2,FALSE()),"Not listed")</f>
        <v>Jan–Mar, Jul–Aug</v>
      </c>
      <c r="S236" t="s">
        <v>340</v>
      </c>
    </row>
    <row r="237" spans="1:19" x14ac:dyDescent="0.3">
      <c r="A237" s="2" t="s">
        <v>337</v>
      </c>
      <c r="B237" s="2" t="s">
        <v>13</v>
      </c>
      <c r="C237" s="2" t="s">
        <v>40</v>
      </c>
      <c r="D237" s="3">
        <v>0.33333333333333298</v>
      </c>
      <c r="E237" s="3">
        <v>0.41666666666666702</v>
      </c>
      <c r="F237" s="2" t="s">
        <v>51</v>
      </c>
      <c r="G237" s="2" t="s">
        <v>16</v>
      </c>
      <c r="H237" s="2">
        <v>4.3</v>
      </c>
      <c r="I237" s="2" t="s">
        <v>338</v>
      </c>
      <c r="J237" s="2" t="s">
        <v>339</v>
      </c>
      <c r="K237" s="4" t="s">
        <v>340</v>
      </c>
      <c r="L237" s="2" t="str">
        <f>IFERROR(VLOOKUP(IFERROR(VLOOKUP(C237,'Destination Alias'!$A:$B,2,FALSE()),C237),'Best Months'!$A:$B,2,FALSE()),"Not listed")</f>
        <v>Jan–Mar, Jul–Aug</v>
      </c>
      <c r="S237" t="s">
        <v>340</v>
      </c>
    </row>
    <row r="238" spans="1:19" x14ac:dyDescent="0.3">
      <c r="A238" s="2" t="s">
        <v>341</v>
      </c>
      <c r="B238" s="2" t="s">
        <v>13</v>
      </c>
      <c r="C238" s="2" t="s">
        <v>40</v>
      </c>
      <c r="D238" s="3">
        <v>0.25</v>
      </c>
      <c r="E238" s="3">
        <v>0.375</v>
      </c>
      <c r="F238" s="2" t="s">
        <v>51</v>
      </c>
      <c r="G238" s="2" t="s">
        <v>28</v>
      </c>
      <c r="H238" s="2">
        <v>4.3</v>
      </c>
      <c r="I238" s="2" t="s">
        <v>342</v>
      </c>
      <c r="J238" s="2" t="s">
        <v>343</v>
      </c>
      <c r="K238" s="2"/>
      <c r="L238" s="2" t="str">
        <f>IFERROR(VLOOKUP(IFERROR(VLOOKUP(C238,'Destination Alias'!$A:$B,2,FALSE()),C238),'Best Months'!$A:$B,2,FALSE()),"Not listed")</f>
        <v>Jan–Mar, Jul–Aug</v>
      </c>
    </row>
    <row r="239" spans="1:19" x14ac:dyDescent="0.3">
      <c r="A239" s="2" t="s">
        <v>341</v>
      </c>
      <c r="B239" s="2" t="s">
        <v>13</v>
      </c>
      <c r="C239" s="2" t="s">
        <v>40</v>
      </c>
      <c r="D239" s="3">
        <v>0.64583333333333304</v>
      </c>
      <c r="E239" s="3">
        <v>0.72916666666666696</v>
      </c>
      <c r="F239" s="2" t="s">
        <v>51</v>
      </c>
      <c r="G239" s="2" t="s">
        <v>73</v>
      </c>
      <c r="H239" s="2">
        <v>4.3</v>
      </c>
      <c r="I239" s="2" t="s">
        <v>342</v>
      </c>
      <c r="J239" s="2" t="s">
        <v>343</v>
      </c>
      <c r="K239" s="2"/>
      <c r="L239" s="2" t="str">
        <f>IFERROR(VLOOKUP(IFERROR(VLOOKUP(C239,'Destination Alias'!$A:$B,2,FALSE()),C239),'Best Months'!$A:$B,2,FALSE()),"Not listed")</f>
        <v>Jan–Mar, Jul–Aug</v>
      </c>
    </row>
    <row r="240" spans="1:19" x14ac:dyDescent="0.3">
      <c r="A240" s="2" t="s">
        <v>341</v>
      </c>
      <c r="B240" s="2" t="s">
        <v>13</v>
      </c>
      <c r="C240" s="2" t="s">
        <v>40</v>
      </c>
      <c r="D240" s="3">
        <v>0.33333333333333298</v>
      </c>
      <c r="E240" s="3">
        <v>0.41666666666666702</v>
      </c>
      <c r="F240" s="2" t="s">
        <v>51</v>
      </c>
      <c r="G240" s="2" t="s">
        <v>16</v>
      </c>
      <c r="H240" s="2">
        <v>4.3</v>
      </c>
      <c r="I240" s="2" t="s">
        <v>342</v>
      </c>
      <c r="J240" s="2" t="s">
        <v>343</v>
      </c>
      <c r="K240" s="2"/>
      <c r="L240" s="2" t="str">
        <f>IFERROR(VLOOKUP(IFERROR(VLOOKUP(C240,'Destination Alias'!$A:$B,2,FALSE()),C240),'Best Months'!$A:$B,2,FALSE()),"Not listed")</f>
        <v>Jan–Mar, Jul–Aug</v>
      </c>
    </row>
    <row r="241" spans="1:19" x14ac:dyDescent="0.3">
      <c r="A241" s="2" t="s">
        <v>344</v>
      </c>
      <c r="B241" s="2" t="s">
        <v>13</v>
      </c>
      <c r="C241" s="2" t="s">
        <v>40</v>
      </c>
      <c r="D241" s="3">
        <v>0.25</v>
      </c>
      <c r="E241" s="3">
        <v>0.375</v>
      </c>
      <c r="F241" s="2" t="s">
        <v>51</v>
      </c>
      <c r="G241" s="2" t="s">
        <v>28</v>
      </c>
      <c r="H241" s="2">
        <v>4.3</v>
      </c>
      <c r="I241" s="2" t="s">
        <v>345</v>
      </c>
      <c r="J241" s="2" t="s">
        <v>346</v>
      </c>
      <c r="K241" s="4" t="s">
        <v>347</v>
      </c>
      <c r="L241" s="2" t="str">
        <f>IFERROR(VLOOKUP(IFERROR(VLOOKUP(C241,'Destination Alias'!$A:$B,2,FALSE()),C241),'Best Months'!$A:$B,2,FALSE()),"Not listed")</f>
        <v>Jan–Mar, Jul–Aug</v>
      </c>
      <c r="S241" t="s">
        <v>347</v>
      </c>
    </row>
    <row r="242" spans="1:19" x14ac:dyDescent="0.3">
      <c r="A242" s="2" t="s">
        <v>344</v>
      </c>
      <c r="B242" s="2" t="s">
        <v>13</v>
      </c>
      <c r="C242" s="2" t="s">
        <v>40</v>
      </c>
      <c r="D242" s="3">
        <v>0.64583333333333304</v>
      </c>
      <c r="E242" s="3">
        <v>0.72916666666666696</v>
      </c>
      <c r="F242" s="2" t="s">
        <v>51</v>
      </c>
      <c r="G242" s="2" t="s">
        <v>73</v>
      </c>
      <c r="H242" s="2">
        <v>4.3</v>
      </c>
      <c r="I242" s="2" t="s">
        <v>345</v>
      </c>
      <c r="J242" s="2" t="s">
        <v>346</v>
      </c>
      <c r="K242" s="4" t="s">
        <v>347</v>
      </c>
      <c r="L242" s="2" t="str">
        <f>IFERROR(VLOOKUP(IFERROR(VLOOKUP(C242,'Destination Alias'!$A:$B,2,FALSE()),C242),'Best Months'!$A:$B,2,FALSE()),"Not listed")</f>
        <v>Jan–Mar, Jul–Aug</v>
      </c>
      <c r="S242" t="s">
        <v>347</v>
      </c>
    </row>
    <row r="243" spans="1:19" x14ac:dyDescent="0.3">
      <c r="A243" s="2" t="s">
        <v>344</v>
      </c>
      <c r="B243" s="2" t="s">
        <v>13</v>
      </c>
      <c r="C243" s="2" t="s">
        <v>40</v>
      </c>
      <c r="D243" s="3">
        <v>0.33333333333333298</v>
      </c>
      <c r="E243" s="3">
        <v>0.41666666666666702</v>
      </c>
      <c r="F243" s="2" t="s">
        <v>51</v>
      </c>
      <c r="G243" s="2" t="s">
        <v>16</v>
      </c>
      <c r="H243" s="2">
        <v>4.3</v>
      </c>
      <c r="I243" s="2" t="s">
        <v>345</v>
      </c>
      <c r="J243" s="2" t="s">
        <v>346</v>
      </c>
      <c r="K243" s="4" t="s">
        <v>347</v>
      </c>
      <c r="L243" s="2" t="str">
        <f>IFERROR(VLOOKUP(IFERROR(VLOOKUP(C243,'Destination Alias'!$A:$B,2,FALSE()),C243),'Best Months'!$A:$B,2,FALSE()),"Not listed")</f>
        <v>Jan–Mar, Jul–Aug</v>
      </c>
      <c r="S243" t="s">
        <v>347</v>
      </c>
    </row>
    <row r="244" spans="1:19" x14ac:dyDescent="0.3">
      <c r="A244" s="2" t="s">
        <v>348</v>
      </c>
      <c r="B244" s="2" t="s">
        <v>22</v>
      </c>
      <c r="C244" s="2" t="s">
        <v>50</v>
      </c>
      <c r="D244" s="3">
        <v>0.41666666666666702</v>
      </c>
      <c r="E244" s="3">
        <v>0.45833333333333298</v>
      </c>
      <c r="F244" s="2" t="s">
        <v>35</v>
      </c>
      <c r="G244" s="2" t="s">
        <v>20</v>
      </c>
      <c r="H244" s="2">
        <v>4.5999999999999996</v>
      </c>
      <c r="I244" s="2" t="s">
        <v>349</v>
      </c>
      <c r="J244" s="2" t="s">
        <v>350</v>
      </c>
      <c r="K244" s="4" t="s">
        <v>351</v>
      </c>
      <c r="L244" s="2" t="str">
        <f>IFERROR(VLOOKUP(IFERROR(VLOOKUP(C244,'Destination Alias'!$A:$B,2,FALSE()),C244),'Best Months'!$A:$B,2,FALSE()),"Not listed")</f>
        <v>Dec–Mar</v>
      </c>
      <c r="S244" t="s">
        <v>351</v>
      </c>
    </row>
    <row r="245" spans="1:19" x14ac:dyDescent="0.3">
      <c r="A245" s="2" t="s">
        <v>348</v>
      </c>
      <c r="B245" s="2" t="s">
        <v>22</v>
      </c>
      <c r="C245" s="2" t="s">
        <v>50</v>
      </c>
      <c r="D245" s="3">
        <v>0.45833333333333298</v>
      </c>
      <c r="E245" s="3">
        <v>0.5</v>
      </c>
      <c r="F245" s="2" t="s">
        <v>35</v>
      </c>
      <c r="G245" s="2" t="s">
        <v>220</v>
      </c>
      <c r="H245" s="2">
        <v>4.5999999999999996</v>
      </c>
      <c r="I245" s="2" t="s">
        <v>349</v>
      </c>
      <c r="J245" s="2" t="s">
        <v>350</v>
      </c>
      <c r="K245" s="4" t="s">
        <v>351</v>
      </c>
      <c r="L245" s="2" t="str">
        <f>IFERROR(VLOOKUP(IFERROR(VLOOKUP(C245,'Destination Alias'!$A:$B,2,FALSE()),C245),'Best Months'!$A:$B,2,FALSE()),"Not listed")</f>
        <v>Dec–Mar</v>
      </c>
      <c r="S245" t="s">
        <v>351</v>
      </c>
    </row>
    <row r="246" spans="1:19" x14ac:dyDescent="0.3">
      <c r="A246" s="2" t="s">
        <v>352</v>
      </c>
      <c r="B246" s="2" t="s">
        <v>22</v>
      </c>
      <c r="C246" s="2" t="s">
        <v>163</v>
      </c>
      <c r="D246" s="3">
        <v>0.33333333333333298</v>
      </c>
      <c r="E246" s="3">
        <v>0.36458333333333298</v>
      </c>
      <c r="F246" s="2" t="s">
        <v>90</v>
      </c>
      <c r="G246" s="2" t="s">
        <v>16</v>
      </c>
      <c r="H246" s="2">
        <v>4.5999999999999996</v>
      </c>
      <c r="I246" s="2" t="s">
        <v>353</v>
      </c>
      <c r="J246" s="2" t="s">
        <v>354</v>
      </c>
      <c r="K246" s="4" t="s">
        <v>355</v>
      </c>
      <c r="L246" s="2" t="str">
        <f>IFERROR(VLOOKUP(IFERROR(VLOOKUP(C246,'Destination Alias'!$A:$B,2,FALSE()),C246),'Best Months'!$A:$B,2,FALSE()),"Not listed")</f>
        <v>Dec–Mar</v>
      </c>
      <c r="S246" t="s">
        <v>355</v>
      </c>
    </row>
    <row r="247" spans="1:19" x14ac:dyDescent="0.3">
      <c r="A247" s="2" t="s">
        <v>352</v>
      </c>
      <c r="B247" s="2" t="s">
        <v>22</v>
      </c>
      <c r="C247" s="2" t="s">
        <v>163</v>
      </c>
      <c r="D247" s="3">
        <v>0.36458333333333298</v>
      </c>
      <c r="E247" s="3">
        <v>0.39583333333333298</v>
      </c>
      <c r="F247" s="2" t="s">
        <v>90</v>
      </c>
      <c r="G247" s="2" t="s">
        <v>16</v>
      </c>
      <c r="H247" s="2">
        <v>4.5999999999999996</v>
      </c>
      <c r="I247" s="2" t="s">
        <v>353</v>
      </c>
      <c r="J247" s="2" t="s">
        <v>354</v>
      </c>
      <c r="K247" s="4" t="s">
        <v>355</v>
      </c>
      <c r="L247" s="2" t="str">
        <f>IFERROR(VLOOKUP(IFERROR(VLOOKUP(C247,'Destination Alias'!$A:$B,2,FALSE()),C247),'Best Months'!$A:$B,2,FALSE()),"Not listed")</f>
        <v>Dec–Mar</v>
      </c>
      <c r="S247" t="s">
        <v>355</v>
      </c>
    </row>
    <row r="248" spans="1:19" x14ac:dyDescent="0.3">
      <c r="A248" s="2" t="s">
        <v>352</v>
      </c>
      <c r="B248" s="2" t="s">
        <v>22</v>
      </c>
      <c r="C248" s="2" t="s">
        <v>163</v>
      </c>
      <c r="D248" s="3">
        <v>0.39583333333333298</v>
      </c>
      <c r="E248" s="3">
        <v>0.42708333333333298</v>
      </c>
      <c r="F248" s="2" t="s">
        <v>90</v>
      </c>
      <c r="G248" s="2" t="s">
        <v>20</v>
      </c>
      <c r="H248" s="2">
        <v>4.5999999999999996</v>
      </c>
      <c r="I248" s="2" t="s">
        <v>353</v>
      </c>
      <c r="J248" s="2" t="s">
        <v>354</v>
      </c>
      <c r="K248" s="4" t="s">
        <v>355</v>
      </c>
      <c r="L248" s="2" t="str">
        <f>IFERROR(VLOOKUP(IFERROR(VLOOKUP(C248,'Destination Alias'!$A:$B,2,FALSE()),C248),'Best Months'!$A:$B,2,FALSE()),"Not listed")</f>
        <v>Dec–Mar</v>
      </c>
      <c r="S248" t="s">
        <v>355</v>
      </c>
    </row>
    <row r="249" spans="1:19" x14ac:dyDescent="0.3">
      <c r="A249" s="2" t="s">
        <v>352</v>
      </c>
      <c r="B249" s="2" t="s">
        <v>22</v>
      </c>
      <c r="C249" s="2" t="s">
        <v>163</v>
      </c>
      <c r="D249" s="3">
        <v>0.42708333333333298</v>
      </c>
      <c r="E249" s="3">
        <v>0.45833333333333298</v>
      </c>
      <c r="F249" s="2" t="s">
        <v>90</v>
      </c>
      <c r="G249" s="2" t="s">
        <v>20</v>
      </c>
      <c r="H249" s="2">
        <v>4.5999999999999996</v>
      </c>
      <c r="I249" s="2" t="s">
        <v>353</v>
      </c>
      <c r="J249" s="2" t="s">
        <v>354</v>
      </c>
      <c r="K249" s="4" t="s">
        <v>355</v>
      </c>
      <c r="L249" s="2" t="str">
        <f>IFERROR(VLOOKUP(IFERROR(VLOOKUP(C249,'Destination Alias'!$A:$B,2,FALSE()),C249),'Best Months'!$A:$B,2,FALSE()),"Not listed")</f>
        <v>Dec–Mar</v>
      </c>
      <c r="S249" t="s">
        <v>355</v>
      </c>
    </row>
    <row r="250" spans="1:19" ht="409.6" x14ac:dyDescent="0.3">
      <c r="A250" s="2" t="s">
        <v>356</v>
      </c>
      <c r="B250" s="2" t="s">
        <v>13</v>
      </c>
      <c r="C250" s="2" t="s">
        <v>323</v>
      </c>
      <c r="D250" s="3">
        <v>0.29166666666666702</v>
      </c>
      <c r="E250" s="3">
        <v>0.5</v>
      </c>
      <c r="F250" s="2" t="s">
        <v>357</v>
      </c>
      <c r="G250" s="2" t="s">
        <v>38</v>
      </c>
      <c r="H250" s="2">
        <v>5</v>
      </c>
      <c r="I250" s="2" t="s">
        <v>358</v>
      </c>
      <c r="J250" s="5" t="s">
        <v>359</v>
      </c>
      <c r="K250" s="2"/>
      <c r="L250" s="2" t="str">
        <f>IFERROR(VLOOKUP(IFERROR(VLOOKUP(C250,'Destination Alias'!$A:$B,2,FALSE()),C250),'Best Months'!$A:$B,2,FALSE()),"Not listed")</f>
        <v>Jan–Mar, Jul–Aug</v>
      </c>
    </row>
    <row r="251" spans="1:19" ht="409.6" x14ac:dyDescent="0.3">
      <c r="A251" s="2" t="s">
        <v>356</v>
      </c>
      <c r="B251" s="2" t="s">
        <v>13</v>
      </c>
      <c r="C251" s="2" t="s">
        <v>323</v>
      </c>
      <c r="D251" s="3">
        <v>0.35416666666666702</v>
      </c>
      <c r="E251" s="3">
        <v>0.6875</v>
      </c>
      <c r="F251" s="2" t="s">
        <v>357</v>
      </c>
      <c r="G251" s="2" t="s">
        <v>16</v>
      </c>
      <c r="H251" s="2">
        <v>5</v>
      </c>
      <c r="I251" s="2" t="s">
        <v>358</v>
      </c>
      <c r="J251" s="5" t="s">
        <v>359</v>
      </c>
      <c r="K251" s="2"/>
      <c r="L251" s="2" t="str">
        <f>IFERROR(VLOOKUP(IFERROR(VLOOKUP(C251,'Destination Alias'!$A:$B,2,FALSE()),C251),'Best Months'!$A:$B,2,FALSE()),"Not listed")</f>
        <v>Jan–Mar, Jul–Aug</v>
      </c>
    </row>
    <row r="252" spans="1:19" ht="409.6" x14ac:dyDescent="0.3">
      <c r="A252" s="2" t="s">
        <v>356</v>
      </c>
      <c r="B252" s="2" t="s">
        <v>13</v>
      </c>
      <c r="C252" s="2" t="s">
        <v>323</v>
      </c>
      <c r="D252" s="3">
        <v>0.625</v>
      </c>
      <c r="E252" s="3">
        <v>0.95833333333333304</v>
      </c>
      <c r="F252" s="2" t="s">
        <v>357</v>
      </c>
      <c r="G252" s="2" t="s">
        <v>73</v>
      </c>
      <c r="H252" s="2">
        <v>5</v>
      </c>
      <c r="I252" s="2" t="s">
        <v>358</v>
      </c>
      <c r="J252" s="5" t="s">
        <v>359</v>
      </c>
      <c r="K252" s="2"/>
      <c r="L252" s="2" t="str">
        <f>IFERROR(VLOOKUP(IFERROR(VLOOKUP(C252,'Destination Alias'!$A:$B,2,FALSE()),C252),'Best Months'!$A:$B,2,FALSE()),"Not listed")</f>
        <v>Jan–Mar, Jul–Aug</v>
      </c>
    </row>
    <row r="253" spans="1:19" ht="409.6" x14ac:dyDescent="0.3">
      <c r="A253" s="2" t="s">
        <v>356</v>
      </c>
      <c r="B253" s="2" t="s">
        <v>13</v>
      </c>
      <c r="C253" s="2" t="s">
        <v>323</v>
      </c>
      <c r="D253" s="3">
        <v>0.625</v>
      </c>
      <c r="E253" s="3">
        <v>0.95833333333333304</v>
      </c>
      <c r="F253" s="2" t="s">
        <v>357</v>
      </c>
      <c r="G253" s="2" t="s">
        <v>73</v>
      </c>
      <c r="H253" s="2">
        <v>5</v>
      </c>
      <c r="I253" s="2" t="s">
        <v>358</v>
      </c>
      <c r="J253" s="5" t="s">
        <v>359</v>
      </c>
      <c r="K253" s="2"/>
      <c r="L253" s="2" t="str">
        <f>IFERROR(VLOOKUP(IFERROR(VLOOKUP(C253,'Destination Alias'!$A:$B,2,FALSE()),C253),'Best Months'!$A:$B,2,FALSE()),"Not listed")</f>
        <v>Jan–Mar, Jul–Aug</v>
      </c>
    </row>
    <row r="254" spans="1:19" ht="409.6" x14ac:dyDescent="0.3">
      <c r="A254" s="2" t="s">
        <v>356</v>
      </c>
      <c r="B254" s="2" t="s">
        <v>13</v>
      </c>
      <c r="C254" s="2" t="s">
        <v>323</v>
      </c>
      <c r="D254" s="3">
        <v>0.27083333333333298</v>
      </c>
      <c r="E254" s="3">
        <v>0.29166666666666702</v>
      </c>
      <c r="F254" s="2" t="s">
        <v>357</v>
      </c>
      <c r="G254" s="2" t="s">
        <v>28</v>
      </c>
      <c r="H254" s="2">
        <v>4.7</v>
      </c>
      <c r="I254" s="2" t="s">
        <v>358</v>
      </c>
      <c r="J254" s="5" t="s">
        <v>359</v>
      </c>
      <c r="K254" s="2"/>
      <c r="L254" s="2" t="str">
        <f>IFERROR(VLOOKUP(IFERROR(VLOOKUP(C254,'Destination Alias'!$A:$B,2,FALSE()),C254),'Best Months'!$A:$B,2,FALSE()),"Not listed")</f>
        <v>Jan–Mar, Jul–Aug</v>
      </c>
    </row>
    <row r="255" spans="1:19" ht="409.6" x14ac:dyDescent="0.3">
      <c r="A255" s="2" t="s">
        <v>356</v>
      </c>
      <c r="B255" s="2" t="s">
        <v>13</v>
      </c>
      <c r="C255" s="2" t="s">
        <v>323</v>
      </c>
      <c r="D255" s="3">
        <v>0.25</v>
      </c>
      <c r="E255" s="3">
        <v>0.58333333333333304</v>
      </c>
      <c r="F255" s="2" t="s">
        <v>357</v>
      </c>
      <c r="G255" s="2" t="s">
        <v>28</v>
      </c>
      <c r="H255" s="2">
        <v>4.7</v>
      </c>
      <c r="I255" s="2" t="s">
        <v>358</v>
      </c>
      <c r="J255" s="5" t="s">
        <v>359</v>
      </c>
      <c r="K255" s="2"/>
      <c r="L255" s="2" t="str">
        <f>IFERROR(VLOOKUP(IFERROR(VLOOKUP(C255,'Destination Alias'!$A:$B,2,FALSE()),C255),'Best Months'!$A:$B,2,FALSE()),"Not listed")</f>
        <v>Jan–Mar, Jul–Aug</v>
      </c>
    </row>
    <row r="256" spans="1:19" x14ac:dyDescent="0.3">
      <c r="A256" s="2" t="s">
        <v>360</v>
      </c>
      <c r="B256" s="2" t="s">
        <v>361</v>
      </c>
      <c r="C256" s="2" t="s">
        <v>50</v>
      </c>
      <c r="D256" s="3">
        <v>0.66666666666666696</v>
      </c>
      <c r="E256" s="3">
        <v>0.79166666666666696</v>
      </c>
      <c r="F256" s="2" t="s">
        <v>61</v>
      </c>
      <c r="G256" s="2" t="s">
        <v>73</v>
      </c>
      <c r="H256" s="2">
        <v>3.9</v>
      </c>
      <c r="I256" s="2" t="s">
        <v>362</v>
      </c>
      <c r="J256" s="2" t="s">
        <v>363</v>
      </c>
      <c r="K256" s="4" t="s">
        <v>364</v>
      </c>
      <c r="L256" s="2" t="str">
        <f>IFERROR(VLOOKUP(IFERROR(VLOOKUP(C256,'Destination Alias'!$A:$B,2,FALSE()),C256),'Best Months'!$A:$B,2,FALSE()),"Not listed")</f>
        <v>Dec–Mar</v>
      </c>
      <c r="S256" t="s">
        <v>364</v>
      </c>
    </row>
    <row r="257" spans="1:19" x14ac:dyDescent="0.3">
      <c r="A257" s="2" t="s">
        <v>365</v>
      </c>
      <c r="B257" s="2" t="s">
        <v>81</v>
      </c>
      <c r="C257" s="2" t="s">
        <v>14</v>
      </c>
      <c r="D257" s="3">
        <v>0.25</v>
      </c>
      <c r="E257" s="3">
        <v>0.41666666666666702</v>
      </c>
      <c r="F257" s="2" t="s">
        <v>129</v>
      </c>
      <c r="G257" s="2" t="s">
        <v>28</v>
      </c>
      <c r="H257" s="2">
        <v>4.7</v>
      </c>
      <c r="I257" s="2" t="s">
        <v>366</v>
      </c>
      <c r="J257" s="2" t="s">
        <v>367</v>
      </c>
      <c r="K257" s="4" t="s">
        <v>368</v>
      </c>
      <c r="L257" s="2" t="str">
        <f>IFERROR(VLOOKUP(IFERROR(VLOOKUP(C257,'Destination Alias'!$A:$B,2,FALSE()),C257),'Best Months'!$A:$B,2,FALSE()),"Not listed")</f>
        <v>Dec–Mar</v>
      </c>
      <c r="S257" t="s">
        <v>368</v>
      </c>
    </row>
    <row r="258" spans="1:19" x14ac:dyDescent="0.3">
      <c r="A258" s="2" t="s">
        <v>369</v>
      </c>
      <c r="B258" s="2" t="s">
        <v>81</v>
      </c>
      <c r="C258" s="2" t="s">
        <v>27</v>
      </c>
      <c r="D258" s="3">
        <v>0.27083333333333298</v>
      </c>
      <c r="E258" s="3">
        <v>0.39583333333333298</v>
      </c>
      <c r="F258" s="2" t="s">
        <v>129</v>
      </c>
      <c r="G258" s="2" t="s">
        <v>28</v>
      </c>
      <c r="H258" s="2">
        <v>5</v>
      </c>
      <c r="I258" s="2" t="s">
        <v>370</v>
      </c>
      <c r="J258" s="2" t="s">
        <v>371</v>
      </c>
      <c r="K258" s="2"/>
      <c r="L258" s="2" t="str">
        <f>IFERROR(VLOOKUP(IFERROR(VLOOKUP(C258,'Destination Alias'!$A:$B,2,FALSE()),C258),'Best Months'!$A:$B,2,FALSE()),"Not listed")</f>
        <v>May–Sep</v>
      </c>
    </row>
    <row r="259" spans="1:19" x14ac:dyDescent="0.3">
      <c r="A259" s="2" t="s">
        <v>369</v>
      </c>
      <c r="B259" s="2" t="s">
        <v>81</v>
      </c>
      <c r="C259" s="2" t="s">
        <v>27</v>
      </c>
      <c r="D259" s="3">
        <v>0.5625</v>
      </c>
      <c r="E259" s="3">
        <v>0.77083333333333304</v>
      </c>
      <c r="F259" s="2" t="s">
        <v>129</v>
      </c>
      <c r="G259" s="2" t="s">
        <v>199</v>
      </c>
      <c r="H259" s="2">
        <v>5</v>
      </c>
      <c r="I259" s="2" t="s">
        <v>370</v>
      </c>
      <c r="J259" s="2" t="s">
        <v>371</v>
      </c>
      <c r="K259" s="2"/>
      <c r="L259" s="2" t="str">
        <f>IFERROR(VLOOKUP(IFERROR(VLOOKUP(C259,'Destination Alias'!$A:$B,2,FALSE()),C259),'Best Months'!$A:$B,2,FALSE()),"Not listed")</f>
        <v>May–Sep</v>
      </c>
    </row>
    <row r="260" spans="1:19" x14ac:dyDescent="0.3">
      <c r="A260" s="2" t="s">
        <v>369</v>
      </c>
      <c r="B260" s="2" t="s">
        <v>81</v>
      </c>
      <c r="C260" s="2" t="s">
        <v>27</v>
      </c>
      <c r="D260" s="3">
        <v>0.625</v>
      </c>
      <c r="E260" s="3">
        <v>0.75</v>
      </c>
      <c r="F260" s="2" t="s">
        <v>129</v>
      </c>
      <c r="G260" s="2" t="s">
        <v>73</v>
      </c>
      <c r="H260" s="2">
        <v>3</v>
      </c>
      <c r="I260" s="2" t="s">
        <v>370</v>
      </c>
      <c r="J260" s="2" t="s">
        <v>371</v>
      </c>
      <c r="K260" s="2"/>
      <c r="L260" s="2" t="str">
        <f>IFERROR(VLOOKUP(IFERROR(VLOOKUP(C260,'Destination Alias'!$A:$B,2,FALSE()),C260),'Best Months'!$A:$B,2,FALSE()),"Not listed")</f>
        <v>May–Sep</v>
      </c>
    </row>
    <row r="261" spans="1:19" x14ac:dyDescent="0.3">
      <c r="A261" s="2" t="s">
        <v>369</v>
      </c>
      <c r="B261" s="2" t="s">
        <v>81</v>
      </c>
      <c r="C261" s="2" t="s">
        <v>27</v>
      </c>
      <c r="D261" s="3">
        <v>0.66666666666666696</v>
      </c>
      <c r="E261" s="3">
        <v>0.83333333333333304</v>
      </c>
      <c r="F261" s="2" t="s">
        <v>129</v>
      </c>
      <c r="G261" s="2" t="s">
        <v>73</v>
      </c>
      <c r="H261" s="2">
        <v>5</v>
      </c>
      <c r="I261" s="2" t="s">
        <v>370</v>
      </c>
      <c r="J261" s="2" t="s">
        <v>371</v>
      </c>
      <c r="K261" s="2"/>
      <c r="L261" s="2" t="str">
        <f>IFERROR(VLOOKUP(IFERROR(VLOOKUP(C261,'Destination Alias'!$A:$B,2,FALSE()),C261),'Best Months'!$A:$B,2,FALSE()),"Not listed")</f>
        <v>May–Sep</v>
      </c>
    </row>
    <row r="262" spans="1:19" x14ac:dyDescent="0.3">
      <c r="A262" s="2" t="s">
        <v>369</v>
      </c>
      <c r="B262" s="2" t="s">
        <v>81</v>
      </c>
      <c r="C262" s="2" t="s">
        <v>27</v>
      </c>
      <c r="D262" s="3">
        <v>0.25</v>
      </c>
      <c r="E262" s="3">
        <v>0.41666666666666702</v>
      </c>
      <c r="F262" s="2" t="s">
        <v>129</v>
      </c>
      <c r="G262" s="2" t="s">
        <v>28</v>
      </c>
      <c r="H262" s="2">
        <v>4.5</v>
      </c>
      <c r="I262" s="2" t="s">
        <v>370</v>
      </c>
      <c r="J262" s="2" t="s">
        <v>371</v>
      </c>
      <c r="K262" s="2"/>
      <c r="L262" s="2" t="str">
        <f>IFERROR(VLOOKUP(IFERROR(VLOOKUP(C262,'Destination Alias'!$A:$B,2,FALSE()),C262),'Best Months'!$A:$B,2,FALSE()),"Not listed")</f>
        <v>May–Sep</v>
      </c>
    </row>
    <row r="263" spans="1:19" x14ac:dyDescent="0.3">
      <c r="A263" s="2" t="s">
        <v>372</v>
      </c>
      <c r="B263" s="2" t="s">
        <v>13</v>
      </c>
      <c r="C263" s="2" t="s">
        <v>108</v>
      </c>
      <c r="D263" s="3">
        <v>0.66666666666666696</v>
      </c>
      <c r="E263" s="3">
        <v>0.75</v>
      </c>
      <c r="F263" s="2" t="s">
        <v>51</v>
      </c>
      <c r="G263" s="2" t="s">
        <v>73</v>
      </c>
      <c r="H263" s="2">
        <v>4.3</v>
      </c>
      <c r="I263" s="2" t="s">
        <v>373</v>
      </c>
      <c r="J263" s="2" t="s">
        <v>374</v>
      </c>
      <c r="K263" s="4" t="s">
        <v>375</v>
      </c>
      <c r="L263" s="2" t="str">
        <f>IFERROR(VLOOKUP(IFERROR(VLOOKUP(C263,'Destination Alias'!$A:$B,2,FALSE()),C263),'Best Months'!$A:$B,2,FALSE()),"Not listed")</f>
        <v>Jan–Mar, Jul–Aug</v>
      </c>
      <c r="S263" t="s">
        <v>375</v>
      </c>
    </row>
    <row r="264" spans="1:19" x14ac:dyDescent="0.3">
      <c r="A264" s="2" t="s">
        <v>376</v>
      </c>
      <c r="B264" s="2" t="s">
        <v>22</v>
      </c>
      <c r="C264" s="2" t="s">
        <v>163</v>
      </c>
      <c r="D264" s="3">
        <v>0.27083333333333298</v>
      </c>
      <c r="E264" s="3">
        <v>0.4375</v>
      </c>
      <c r="F264" s="2" t="s">
        <v>129</v>
      </c>
      <c r="G264" s="2" t="s">
        <v>28</v>
      </c>
      <c r="H264" s="2">
        <v>4</v>
      </c>
      <c r="I264" s="2" t="s">
        <v>377</v>
      </c>
      <c r="J264" s="2" t="s">
        <v>378</v>
      </c>
      <c r="K264" s="4" t="s">
        <v>379</v>
      </c>
      <c r="L264" s="2" t="str">
        <f>IFERROR(VLOOKUP(IFERROR(VLOOKUP(C264,'Destination Alias'!$A:$B,2,FALSE()),C264),'Best Months'!$A:$B,2,FALSE()),"Not listed")</f>
        <v>Dec–Mar</v>
      </c>
      <c r="S264" t="s">
        <v>379</v>
      </c>
    </row>
    <row r="265" spans="1:19" x14ac:dyDescent="0.3">
      <c r="A265" s="2" t="s">
        <v>376</v>
      </c>
      <c r="B265" s="2" t="s">
        <v>22</v>
      </c>
      <c r="C265" s="2" t="s">
        <v>163</v>
      </c>
      <c r="D265" s="3">
        <v>0.35416666666666702</v>
      </c>
      <c r="E265" s="3">
        <v>0.52083333333333304</v>
      </c>
      <c r="F265" s="2" t="s">
        <v>129</v>
      </c>
      <c r="G265" s="2" t="s">
        <v>16</v>
      </c>
      <c r="H265" s="2">
        <v>5</v>
      </c>
      <c r="I265" s="2" t="s">
        <v>377</v>
      </c>
      <c r="J265" s="2" t="s">
        <v>378</v>
      </c>
      <c r="K265" s="4" t="s">
        <v>379</v>
      </c>
      <c r="L265" s="2" t="str">
        <f>IFERROR(VLOOKUP(IFERROR(VLOOKUP(C265,'Destination Alias'!$A:$B,2,FALSE()),C265),'Best Months'!$A:$B,2,FALSE()),"Not listed")</f>
        <v>Dec–Mar</v>
      </c>
      <c r="S265" t="s">
        <v>379</v>
      </c>
    </row>
    <row r="266" spans="1:19" x14ac:dyDescent="0.3">
      <c r="A266" s="2" t="s">
        <v>376</v>
      </c>
      <c r="B266" s="2" t="s">
        <v>22</v>
      </c>
      <c r="C266" s="2" t="s">
        <v>163</v>
      </c>
      <c r="D266" s="3">
        <v>0.45833333333333298</v>
      </c>
      <c r="E266" s="3">
        <v>0.625</v>
      </c>
      <c r="F266" s="2" t="s">
        <v>129</v>
      </c>
      <c r="G266" s="2" t="s">
        <v>220</v>
      </c>
      <c r="H266" s="2">
        <v>5</v>
      </c>
      <c r="I266" s="2" t="s">
        <v>377</v>
      </c>
      <c r="J266" s="2" t="s">
        <v>378</v>
      </c>
      <c r="K266" s="4" t="s">
        <v>379</v>
      </c>
      <c r="L266" s="2" t="str">
        <f>IFERROR(VLOOKUP(IFERROR(VLOOKUP(C266,'Destination Alias'!$A:$B,2,FALSE()),C266),'Best Months'!$A:$B,2,FALSE()),"Not listed")</f>
        <v>Dec–Mar</v>
      </c>
      <c r="S266" t="s">
        <v>379</v>
      </c>
    </row>
    <row r="267" spans="1:19" x14ac:dyDescent="0.3">
      <c r="A267" s="2" t="s">
        <v>376</v>
      </c>
      <c r="B267" s="2" t="s">
        <v>22</v>
      </c>
      <c r="C267" s="2" t="s">
        <v>163</v>
      </c>
      <c r="D267" s="3">
        <v>0.625</v>
      </c>
      <c r="E267" s="3">
        <v>0.79166666666666696</v>
      </c>
      <c r="F267" s="2" t="s">
        <v>129</v>
      </c>
      <c r="G267" s="2" t="s">
        <v>73</v>
      </c>
      <c r="H267" s="2">
        <v>5</v>
      </c>
      <c r="I267" s="2" t="s">
        <v>377</v>
      </c>
      <c r="J267" s="2" t="s">
        <v>378</v>
      </c>
      <c r="K267" s="4" t="s">
        <v>379</v>
      </c>
      <c r="L267" s="2" t="str">
        <f>IFERROR(VLOOKUP(IFERROR(VLOOKUP(C267,'Destination Alias'!$A:$B,2,FALSE()),C267),'Best Months'!$A:$B,2,FALSE()),"Not listed")</f>
        <v>Dec–Mar</v>
      </c>
      <c r="S267" t="s">
        <v>379</v>
      </c>
    </row>
    <row r="268" spans="1:19" x14ac:dyDescent="0.3">
      <c r="A268" s="2" t="s">
        <v>376</v>
      </c>
      <c r="B268" s="2" t="s">
        <v>22</v>
      </c>
      <c r="C268" s="2" t="s">
        <v>163</v>
      </c>
      <c r="D268" s="3">
        <v>0.66666666666666696</v>
      </c>
      <c r="E268" s="3">
        <v>0.83333333333333304</v>
      </c>
      <c r="F268" s="2" t="s">
        <v>129</v>
      </c>
      <c r="G268" s="2" t="s">
        <v>73</v>
      </c>
      <c r="H268" s="2">
        <v>5</v>
      </c>
      <c r="I268" s="2" t="s">
        <v>377</v>
      </c>
      <c r="J268" s="2" t="s">
        <v>378</v>
      </c>
      <c r="K268" s="4" t="s">
        <v>379</v>
      </c>
      <c r="L268" s="2" t="str">
        <f>IFERROR(VLOOKUP(IFERROR(VLOOKUP(C268,'Destination Alias'!$A:$B,2,FALSE()),C268),'Best Months'!$A:$B,2,FALSE()),"Not listed")</f>
        <v>Dec–Mar</v>
      </c>
      <c r="S268" t="s">
        <v>379</v>
      </c>
    </row>
    <row r="269" spans="1:19" x14ac:dyDescent="0.3">
      <c r="A269" s="2" t="s">
        <v>376</v>
      </c>
      <c r="B269" s="2" t="s">
        <v>22</v>
      </c>
      <c r="C269" s="2" t="s">
        <v>163</v>
      </c>
      <c r="D269" s="3">
        <v>0.6875</v>
      </c>
      <c r="E269" s="3">
        <v>0.85416666666666696</v>
      </c>
      <c r="F269" s="2" t="s">
        <v>129</v>
      </c>
      <c r="G269" s="2" t="s">
        <v>73</v>
      </c>
      <c r="H269" s="2">
        <v>3</v>
      </c>
      <c r="I269" s="2" t="s">
        <v>377</v>
      </c>
      <c r="J269" s="2" t="s">
        <v>378</v>
      </c>
      <c r="K269" s="4" t="s">
        <v>379</v>
      </c>
      <c r="L269" s="2" t="str">
        <f>IFERROR(VLOOKUP(IFERROR(VLOOKUP(C269,'Destination Alias'!$A:$B,2,FALSE()),C269),'Best Months'!$A:$B,2,FALSE()),"Not listed")</f>
        <v>Dec–Mar</v>
      </c>
      <c r="S269" t="s">
        <v>379</v>
      </c>
    </row>
    <row r="270" spans="1:19" x14ac:dyDescent="0.3">
      <c r="A270" s="2" t="s">
        <v>376</v>
      </c>
      <c r="B270" s="2" t="s">
        <v>22</v>
      </c>
      <c r="C270" s="2" t="s">
        <v>163</v>
      </c>
      <c r="D270" s="3">
        <v>0.70833333333333304</v>
      </c>
      <c r="E270" s="3">
        <v>0.875</v>
      </c>
      <c r="F270" s="2" t="s">
        <v>129</v>
      </c>
      <c r="G270" s="2" t="s">
        <v>52</v>
      </c>
      <c r="H270" s="2">
        <v>5</v>
      </c>
      <c r="I270" s="2" t="s">
        <v>377</v>
      </c>
      <c r="J270" s="2" t="s">
        <v>378</v>
      </c>
      <c r="K270" s="4" t="s">
        <v>379</v>
      </c>
      <c r="L270" s="2" t="str">
        <f>IFERROR(VLOOKUP(IFERROR(VLOOKUP(C270,'Destination Alias'!$A:$B,2,FALSE()),C270),'Best Months'!$A:$B,2,FALSE()),"Not listed")</f>
        <v>Dec–Mar</v>
      </c>
      <c r="S270" t="s">
        <v>379</v>
      </c>
    </row>
    <row r="271" spans="1:19" x14ac:dyDescent="0.3">
      <c r="A271" s="2" t="s">
        <v>376</v>
      </c>
      <c r="B271" s="2" t="s">
        <v>22</v>
      </c>
      <c r="C271" s="2" t="s">
        <v>163</v>
      </c>
      <c r="D271" s="3">
        <v>0.72916666666666696</v>
      </c>
      <c r="E271" s="3">
        <v>0.89583333333333304</v>
      </c>
      <c r="F271" s="2" t="s">
        <v>129</v>
      </c>
      <c r="G271" s="2" t="s">
        <v>52</v>
      </c>
      <c r="H271" s="2">
        <v>5</v>
      </c>
      <c r="I271" s="2" t="s">
        <v>377</v>
      </c>
      <c r="J271" s="2" t="s">
        <v>378</v>
      </c>
      <c r="K271" s="4" t="s">
        <v>379</v>
      </c>
      <c r="L271" s="2" t="str">
        <f>IFERROR(VLOOKUP(IFERROR(VLOOKUP(C271,'Destination Alias'!$A:$B,2,FALSE()),C271),'Best Months'!$A:$B,2,FALSE()),"Not listed")</f>
        <v>Dec–Mar</v>
      </c>
      <c r="S271" t="s">
        <v>379</v>
      </c>
    </row>
    <row r="272" spans="1:19" x14ac:dyDescent="0.3">
      <c r="A272" s="2" t="s">
        <v>376</v>
      </c>
      <c r="B272" s="2" t="s">
        <v>22</v>
      </c>
      <c r="C272" s="2" t="s">
        <v>163</v>
      </c>
      <c r="D272" s="3">
        <v>0.75</v>
      </c>
      <c r="E272" s="3">
        <v>0.91666666666666696</v>
      </c>
      <c r="F272" s="2" t="s">
        <v>129</v>
      </c>
      <c r="G272" s="2" t="s">
        <v>102</v>
      </c>
      <c r="H272" s="2">
        <v>5</v>
      </c>
      <c r="I272" s="2" t="s">
        <v>377</v>
      </c>
      <c r="J272" s="2" t="s">
        <v>378</v>
      </c>
      <c r="K272" s="4" t="s">
        <v>379</v>
      </c>
      <c r="L272" s="2" t="str">
        <f>IFERROR(VLOOKUP(IFERROR(VLOOKUP(C272,'Destination Alias'!$A:$B,2,FALSE()),C272),'Best Months'!$A:$B,2,FALSE()),"Not listed")</f>
        <v>Dec–Mar</v>
      </c>
      <c r="S272" t="s">
        <v>379</v>
      </c>
    </row>
    <row r="273" spans="1:19" x14ac:dyDescent="0.3">
      <c r="A273" s="2" t="s">
        <v>376</v>
      </c>
      <c r="B273" s="2" t="s">
        <v>22</v>
      </c>
      <c r="C273" s="2" t="s">
        <v>163</v>
      </c>
      <c r="D273" s="3">
        <v>0.875</v>
      </c>
      <c r="E273" s="3">
        <v>4.1666666666666699E-2</v>
      </c>
      <c r="F273" s="2" t="s">
        <v>129</v>
      </c>
      <c r="G273" s="2" t="s">
        <v>380</v>
      </c>
      <c r="H273" s="2">
        <v>5</v>
      </c>
      <c r="I273" s="2" t="s">
        <v>377</v>
      </c>
      <c r="J273" s="2" t="s">
        <v>378</v>
      </c>
      <c r="K273" s="4" t="s">
        <v>379</v>
      </c>
      <c r="L273" s="2" t="str">
        <f>IFERROR(VLOOKUP(IFERROR(VLOOKUP(C273,'Destination Alias'!$A:$B,2,FALSE()),C273),'Best Months'!$A:$B,2,FALSE()),"Not listed")</f>
        <v>Dec–Mar</v>
      </c>
      <c r="S273" t="s">
        <v>379</v>
      </c>
    </row>
    <row r="274" spans="1:19" x14ac:dyDescent="0.3">
      <c r="A274" s="2" t="s">
        <v>376</v>
      </c>
      <c r="B274" s="2" t="s">
        <v>22</v>
      </c>
      <c r="C274" s="2" t="s">
        <v>163</v>
      </c>
      <c r="D274" s="3">
        <v>0.625</v>
      </c>
      <c r="E274" s="3">
        <v>0.79166666666666696</v>
      </c>
      <c r="F274" s="2" t="s">
        <v>129</v>
      </c>
      <c r="G274" s="2" t="s">
        <v>73</v>
      </c>
      <c r="H274" s="2">
        <v>4.5</v>
      </c>
      <c r="I274" s="2" t="s">
        <v>377</v>
      </c>
      <c r="J274" s="2" t="s">
        <v>378</v>
      </c>
      <c r="K274" s="4" t="s">
        <v>379</v>
      </c>
      <c r="L274" s="2" t="str">
        <f>IFERROR(VLOOKUP(IFERROR(VLOOKUP(C274,'Destination Alias'!$A:$B,2,FALSE()),C274),'Best Months'!$A:$B,2,FALSE()),"Not listed")</f>
        <v>Dec–Mar</v>
      </c>
      <c r="S274" t="s">
        <v>379</v>
      </c>
    </row>
    <row r="275" spans="1:19" x14ac:dyDescent="0.3">
      <c r="A275" s="2" t="s">
        <v>381</v>
      </c>
      <c r="B275" s="2" t="s">
        <v>49</v>
      </c>
      <c r="C275" s="2" t="s">
        <v>50</v>
      </c>
      <c r="D275" s="3">
        <v>0.70833333333333304</v>
      </c>
      <c r="E275" s="3">
        <v>0.79166666666666696</v>
      </c>
      <c r="F275" s="2" t="s">
        <v>51</v>
      </c>
      <c r="G275" s="2" t="s">
        <v>52</v>
      </c>
      <c r="H275" s="2">
        <v>5</v>
      </c>
      <c r="I275" s="2" t="s">
        <v>382</v>
      </c>
      <c r="J275" s="2" t="s">
        <v>383</v>
      </c>
      <c r="K275" s="4" t="s">
        <v>384</v>
      </c>
      <c r="L275" s="2" t="str">
        <f>IFERROR(VLOOKUP(IFERROR(VLOOKUP(C275,'Destination Alias'!$A:$B,2,FALSE()),C275),'Best Months'!$A:$B,2,FALSE()),"Not listed")</f>
        <v>Dec–Mar</v>
      </c>
      <c r="S275" t="s">
        <v>384</v>
      </c>
    </row>
    <row r="276" spans="1:19" x14ac:dyDescent="0.3">
      <c r="A276" s="2" t="s">
        <v>381</v>
      </c>
      <c r="B276" s="2" t="s">
        <v>49</v>
      </c>
      <c r="C276" s="2" t="s">
        <v>50</v>
      </c>
      <c r="D276" s="3">
        <v>0.75</v>
      </c>
      <c r="E276" s="3">
        <v>0.83333333333333304</v>
      </c>
      <c r="F276" s="2" t="s">
        <v>51</v>
      </c>
      <c r="G276" s="2" t="s">
        <v>102</v>
      </c>
      <c r="H276" s="2">
        <v>5</v>
      </c>
      <c r="I276" s="2" t="s">
        <v>382</v>
      </c>
      <c r="J276" s="2" t="s">
        <v>383</v>
      </c>
      <c r="K276" s="4" t="s">
        <v>384</v>
      </c>
      <c r="L276" s="2" t="str">
        <f>IFERROR(VLOOKUP(IFERROR(VLOOKUP(C276,'Destination Alias'!$A:$B,2,FALSE()),C276),'Best Months'!$A:$B,2,FALSE()),"Not listed")</f>
        <v>Dec–Mar</v>
      </c>
      <c r="S276" t="s">
        <v>384</v>
      </c>
    </row>
    <row r="277" spans="1:19" x14ac:dyDescent="0.3">
      <c r="A277" s="2" t="s">
        <v>381</v>
      </c>
      <c r="B277" s="2" t="s">
        <v>49</v>
      </c>
      <c r="C277" s="2" t="s">
        <v>50</v>
      </c>
      <c r="D277" s="3">
        <v>0.66666666666666696</v>
      </c>
      <c r="E277" s="3">
        <v>0.77083333333333304</v>
      </c>
      <c r="F277" s="2" t="s">
        <v>51</v>
      </c>
      <c r="G277" s="2" t="s">
        <v>73</v>
      </c>
      <c r="H277" s="2">
        <v>4.3</v>
      </c>
      <c r="I277" s="2" t="s">
        <v>382</v>
      </c>
      <c r="J277" s="2" t="s">
        <v>383</v>
      </c>
      <c r="K277" s="4" t="s">
        <v>384</v>
      </c>
      <c r="L277" s="2" t="str">
        <f>IFERROR(VLOOKUP(IFERROR(VLOOKUP(C277,'Destination Alias'!$A:$B,2,FALSE()),C277),'Best Months'!$A:$B,2,FALSE()),"Not listed")</f>
        <v>Dec–Mar</v>
      </c>
      <c r="S277" t="s">
        <v>384</v>
      </c>
    </row>
    <row r="278" spans="1:19" x14ac:dyDescent="0.3">
      <c r="A278" s="2" t="s">
        <v>381</v>
      </c>
      <c r="B278" s="2" t="s">
        <v>49</v>
      </c>
      <c r="C278" s="2" t="s">
        <v>50</v>
      </c>
      <c r="D278" s="3">
        <v>0.70833333333333304</v>
      </c>
      <c r="E278" s="3">
        <v>0.83333333333333304</v>
      </c>
      <c r="F278" s="2" t="s">
        <v>51</v>
      </c>
      <c r="G278" s="2" t="s">
        <v>52</v>
      </c>
      <c r="H278" s="2">
        <v>4.3</v>
      </c>
      <c r="I278" s="2" t="s">
        <v>382</v>
      </c>
      <c r="J278" s="2" t="s">
        <v>383</v>
      </c>
      <c r="K278" s="4" t="s">
        <v>384</v>
      </c>
      <c r="L278" s="2" t="str">
        <f>IFERROR(VLOOKUP(IFERROR(VLOOKUP(C278,'Destination Alias'!$A:$B,2,FALSE()),C278),'Best Months'!$A:$B,2,FALSE()),"Not listed")</f>
        <v>Dec–Mar</v>
      </c>
      <c r="S278" t="s">
        <v>384</v>
      </c>
    </row>
    <row r="279" spans="1:19" x14ac:dyDescent="0.3">
      <c r="A279" s="2" t="s">
        <v>381</v>
      </c>
      <c r="B279" s="2" t="s">
        <v>49</v>
      </c>
      <c r="C279" s="2" t="s">
        <v>50</v>
      </c>
      <c r="D279" s="3">
        <v>0.6875</v>
      </c>
      <c r="E279" s="3">
        <v>0.77083333333333304</v>
      </c>
      <c r="F279" s="2" t="s">
        <v>51</v>
      </c>
      <c r="G279" s="2" t="s">
        <v>73</v>
      </c>
      <c r="H279" s="2">
        <v>4.3</v>
      </c>
      <c r="I279" s="2" t="s">
        <v>382</v>
      </c>
      <c r="J279" s="2" t="s">
        <v>383</v>
      </c>
      <c r="K279" s="4" t="s">
        <v>384</v>
      </c>
      <c r="L279" s="2" t="str">
        <f>IFERROR(VLOOKUP(IFERROR(VLOOKUP(C279,'Destination Alias'!$A:$B,2,FALSE()),C279),'Best Months'!$A:$B,2,FALSE()),"Not listed")</f>
        <v>Dec–Mar</v>
      </c>
      <c r="S279" t="s">
        <v>384</v>
      </c>
    </row>
    <row r="280" spans="1:19" x14ac:dyDescent="0.3">
      <c r="A280" s="2" t="s">
        <v>381</v>
      </c>
      <c r="B280" s="2" t="s">
        <v>49</v>
      </c>
      <c r="C280" s="2" t="s">
        <v>50</v>
      </c>
      <c r="D280" s="3">
        <v>0.77083333333333304</v>
      </c>
      <c r="E280" s="3">
        <v>0.85416666666666696</v>
      </c>
      <c r="F280" s="2" t="s">
        <v>51</v>
      </c>
      <c r="G280" s="2" t="s">
        <v>102</v>
      </c>
      <c r="H280" s="2">
        <v>4.3</v>
      </c>
      <c r="I280" s="2" t="s">
        <v>382</v>
      </c>
      <c r="J280" s="2" t="s">
        <v>383</v>
      </c>
      <c r="K280" s="4" t="s">
        <v>384</v>
      </c>
      <c r="L280" s="2" t="str">
        <f>IFERROR(VLOOKUP(IFERROR(VLOOKUP(C280,'Destination Alias'!$A:$B,2,FALSE()),C280),'Best Months'!$A:$B,2,FALSE()),"Not listed")</f>
        <v>Dec–Mar</v>
      </c>
      <c r="S280" t="s">
        <v>384</v>
      </c>
    </row>
    <row r="281" spans="1:19" x14ac:dyDescent="0.3">
      <c r="A281" s="2" t="s">
        <v>385</v>
      </c>
      <c r="B281" s="2" t="s">
        <v>241</v>
      </c>
      <c r="C281" s="2" t="s">
        <v>50</v>
      </c>
      <c r="D281" s="3">
        <v>0.70833333333333304</v>
      </c>
      <c r="E281" s="3">
        <v>0.83333333333333304</v>
      </c>
      <c r="F281" s="2" t="s">
        <v>15</v>
      </c>
      <c r="G281" s="2" t="s">
        <v>52</v>
      </c>
      <c r="H281" s="2">
        <v>4.2</v>
      </c>
      <c r="I281" s="2" t="s">
        <v>386</v>
      </c>
      <c r="J281" s="2" t="s">
        <v>387</v>
      </c>
      <c r="K281" s="4" t="s">
        <v>384</v>
      </c>
      <c r="L281" s="2" t="str">
        <f>IFERROR(VLOOKUP(IFERROR(VLOOKUP(C281,'Destination Alias'!$A:$B,2,FALSE()),C281),'Best Months'!$A:$B,2,FALSE()),"Not listed")</f>
        <v>Dec–Mar</v>
      </c>
      <c r="S281" t="s">
        <v>384</v>
      </c>
    </row>
    <row r="282" spans="1:19" x14ac:dyDescent="0.3">
      <c r="A282" s="2" t="s">
        <v>385</v>
      </c>
      <c r="B282" s="2" t="s">
        <v>241</v>
      </c>
      <c r="C282" s="2" t="s">
        <v>50</v>
      </c>
      <c r="D282" s="3">
        <v>0.6875</v>
      </c>
      <c r="E282" s="3">
        <v>0.75</v>
      </c>
      <c r="F282" s="2" t="s">
        <v>15</v>
      </c>
      <c r="G282" s="2" t="s">
        <v>73</v>
      </c>
      <c r="H282" s="2">
        <v>4.2</v>
      </c>
      <c r="I282" s="2" t="s">
        <v>386</v>
      </c>
      <c r="J282" s="2" t="s">
        <v>387</v>
      </c>
      <c r="K282" s="4" t="s">
        <v>384</v>
      </c>
      <c r="L282" s="2" t="str">
        <f>IFERROR(VLOOKUP(IFERROR(VLOOKUP(C282,'Destination Alias'!$A:$B,2,FALSE()),C282),'Best Months'!$A:$B,2,FALSE()),"Not listed")</f>
        <v>Dec–Mar</v>
      </c>
      <c r="S282" t="s">
        <v>384</v>
      </c>
    </row>
    <row r="283" spans="1:19" x14ac:dyDescent="0.3">
      <c r="A283" s="2" t="s">
        <v>385</v>
      </c>
      <c r="B283" s="2" t="s">
        <v>241</v>
      </c>
      <c r="C283" s="2" t="s">
        <v>50</v>
      </c>
      <c r="D283" s="3">
        <v>0.75</v>
      </c>
      <c r="E283" s="3">
        <v>0.8125</v>
      </c>
      <c r="F283" s="2" t="s">
        <v>15</v>
      </c>
      <c r="G283" s="2" t="s">
        <v>102</v>
      </c>
      <c r="H283" s="2">
        <v>4.2</v>
      </c>
      <c r="I283" s="2" t="s">
        <v>386</v>
      </c>
      <c r="J283" s="2" t="s">
        <v>387</v>
      </c>
      <c r="K283" s="4" t="s">
        <v>384</v>
      </c>
      <c r="L283" s="2" t="str">
        <f>IFERROR(VLOOKUP(IFERROR(VLOOKUP(C283,'Destination Alias'!$A:$B,2,FALSE()),C283),'Best Months'!$A:$B,2,FALSE()),"Not listed")</f>
        <v>Dec–Mar</v>
      </c>
      <c r="S283" t="s">
        <v>384</v>
      </c>
    </row>
    <row r="284" spans="1:19" ht="409.6" x14ac:dyDescent="0.3">
      <c r="A284" s="2" t="s">
        <v>388</v>
      </c>
      <c r="B284" s="2" t="s">
        <v>22</v>
      </c>
      <c r="C284" s="2" t="s">
        <v>163</v>
      </c>
      <c r="D284" s="3">
        <v>0.27083333333333298</v>
      </c>
      <c r="E284" s="3">
        <v>0.4375</v>
      </c>
      <c r="F284" s="2" t="s">
        <v>129</v>
      </c>
      <c r="G284" s="2" t="s">
        <v>28</v>
      </c>
      <c r="H284" s="2">
        <v>4</v>
      </c>
      <c r="I284" s="2" t="s">
        <v>389</v>
      </c>
      <c r="J284" s="5" t="s">
        <v>390</v>
      </c>
      <c r="K284" s="2"/>
      <c r="L284" s="2" t="str">
        <f>IFERROR(VLOOKUP(IFERROR(VLOOKUP(C284,'Destination Alias'!$A:$B,2,FALSE()),C284),'Best Months'!$A:$B,2,FALSE()),"Not listed")</f>
        <v>Dec–Mar</v>
      </c>
    </row>
    <row r="285" spans="1:19" ht="409.6" x14ac:dyDescent="0.3">
      <c r="A285" s="2" t="s">
        <v>388</v>
      </c>
      <c r="B285" s="2" t="s">
        <v>22</v>
      </c>
      <c r="C285" s="2" t="s">
        <v>163</v>
      </c>
      <c r="D285" s="3">
        <v>0.27083333333333298</v>
      </c>
      <c r="E285" s="3">
        <v>0.4375</v>
      </c>
      <c r="F285" s="2" t="s">
        <v>129</v>
      </c>
      <c r="G285" s="2" t="s">
        <v>28</v>
      </c>
      <c r="H285" s="2">
        <v>4</v>
      </c>
      <c r="I285" s="2" t="s">
        <v>389</v>
      </c>
      <c r="J285" s="5" t="s">
        <v>390</v>
      </c>
      <c r="K285" s="2"/>
      <c r="L285" s="2" t="str">
        <f>IFERROR(VLOOKUP(IFERROR(VLOOKUP(C285,'Destination Alias'!$A:$B,2,FALSE()),C285),'Best Months'!$A:$B,2,FALSE()),"Not listed")</f>
        <v>Dec–Mar</v>
      </c>
    </row>
    <row r="286" spans="1:19" ht="409.6" x14ac:dyDescent="0.3">
      <c r="A286" s="2" t="s">
        <v>388</v>
      </c>
      <c r="B286" s="2" t="s">
        <v>22</v>
      </c>
      <c r="C286" s="2" t="s">
        <v>163</v>
      </c>
      <c r="D286" s="3">
        <v>0.35416666666666702</v>
      </c>
      <c r="E286" s="3">
        <v>0.52083333333333304</v>
      </c>
      <c r="F286" s="2" t="s">
        <v>129</v>
      </c>
      <c r="G286" s="2" t="s">
        <v>16</v>
      </c>
      <c r="H286" s="2">
        <v>4</v>
      </c>
      <c r="I286" s="2" t="s">
        <v>389</v>
      </c>
      <c r="J286" s="5" t="s">
        <v>390</v>
      </c>
      <c r="K286" s="2"/>
      <c r="L286" s="2" t="str">
        <f>IFERROR(VLOOKUP(IFERROR(VLOOKUP(C286,'Destination Alias'!$A:$B,2,FALSE()),C286),'Best Months'!$A:$B,2,FALSE()),"Not listed")</f>
        <v>Dec–Mar</v>
      </c>
    </row>
    <row r="287" spans="1:19" ht="409.6" x14ac:dyDescent="0.3">
      <c r="A287" s="2" t="s">
        <v>388</v>
      </c>
      <c r="B287" s="2" t="s">
        <v>22</v>
      </c>
      <c r="C287" s="2" t="s">
        <v>163</v>
      </c>
      <c r="D287" s="3">
        <v>0.45833333333333298</v>
      </c>
      <c r="E287" s="3">
        <v>0.625</v>
      </c>
      <c r="F287" s="2" t="s">
        <v>129</v>
      </c>
      <c r="G287" s="2" t="s">
        <v>220</v>
      </c>
      <c r="H287" s="2">
        <v>5</v>
      </c>
      <c r="I287" s="2" t="s">
        <v>389</v>
      </c>
      <c r="J287" s="5" t="s">
        <v>390</v>
      </c>
      <c r="K287" s="2"/>
      <c r="L287" s="2" t="str">
        <f>IFERROR(VLOOKUP(IFERROR(VLOOKUP(C287,'Destination Alias'!$A:$B,2,FALSE()),C287),'Best Months'!$A:$B,2,FALSE()),"Not listed")</f>
        <v>Dec–Mar</v>
      </c>
    </row>
    <row r="288" spans="1:19" ht="409.6" x14ac:dyDescent="0.3">
      <c r="A288" s="2" t="s">
        <v>388</v>
      </c>
      <c r="B288" s="2" t="s">
        <v>22</v>
      </c>
      <c r="C288" s="2" t="s">
        <v>163</v>
      </c>
      <c r="D288" s="3">
        <v>0.625</v>
      </c>
      <c r="E288" s="3">
        <v>0.79166666666666696</v>
      </c>
      <c r="F288" s="2" t="s">
        <v>129</v>
      </c>
      <c r="G288" s="2" t="s">
        <v>73</v>
      </c>
      <c r="H288" s="2">
        <v>5</v>
      </c>
      <c r="I288" s="2" t="s">
        <v>389</v>
      </c>
      <c r="J288" s="5" t="s">
        <v>390</v>
      </c>
      <c r="K288" s="2"/>
      <c r="L288" s="2" t="str">
        <f>IFERROR(VLOOKUP(IFERROR(VLOOKUP(C288,'Destination Alias'!$A:$B,2,FALSE()),C288),'Best Months'!$A:$B,2,FALSE()),"Not listed")</f>
        <v>Dec–Mar</v>
      </c>
    </row>
    <row r="289" spans="1:19" ht="124.8" x14ac:dyDescent="0.3">
      <c r="A289" s="2" t="s">
        <v>388</v>
      </c>
      <c r="B289" s="2" t="s">
        <v>22</v>
      </c>
      <c r="C289" s="2" t="s">
        <v>163</v>
      </c>
      <c r="D289" s="3">
        <v>0.66666666666666696</v>
      </c>
      <c r="E289" s="3">
        <v>0.83333333333333304</v>
      </c>
      <c r="F289" s="2" t="s">
        <v>129</v>
      </c>
      <c r="G289" s="2" t="s">
        <v>73</v>
      </c>
      <c r="H289" s="2">
        <v>4</v>
      </c>
      <c r="I289" s="2" t="s">
        <v>389</v>
      </c>
      <c r="J289" s="5" t="s">
        <v>390</v>
      </c>
      <c r="K289" s="2"/>
      <c r="L289" s="2" t="str">
        <f>IFERROR(VLOOKUP(IFERROR(VLOOKUP(C289,'Destination Alias'!$A:$B,2,FALSE()),C289),'Best Months'!$A:$B,2,FALSE()),"Not listed")</f>
        <v>Dec–Mar</v>
      </c>
    </row>
    <row r="290" spans="1:19" ht="409.6" x14ac:dyDescent="0.3">
      <c r="A290" s="2" t="s">
        <v>388</v>
      </c>
      <c r="B290" s="2" t="s">
        <v>22</v>
      </c>
      <c r="C290" s="2" t="s">
        <v>163</v>
      </c>
      <c r="D290" s="3">
        <v>0.6875</v>
      </c>
      <c r="E290" s="3">
        <v>0.85416666666666696</v>
      </c>
      <c r="F290" s="2" t="s">
        <v>129</v>
      </c>
      <c r="G290" s="2" t="s">
        <v>73</v>
      </c>
      <c r="H290" s="2">
        <v>3</v>
      </c>
      <c r="I290" s="2" t="s">
        <v>389</v>
      </c>
      <c r="J290" s="5" t="s">
        <v>390</v>
      </c>
      <c r="K290" s="2"/>
      <c r="L290" s="2" t="str">
        <f>IFERROR(VLOOKUP(IFERROR(VLOOKUP(C290,'Destination Alias'!$A:$B,2,FALSE()),C290),'Best Months'!$A:$B,2,FALSE()),"Not listed")</f>
        <v>Dec–Mar</v>
      </c>
    </row>
    <row r="291" spans="1:19" ht="409.6" x14ac:dyDescent="0.3">
      <c r="A291" s="2" t="s">
        <v>388</v>
      </c>
      <c r="B291" s="2" t="s">
        <v>22</v>
      </c>
      <c r="C291" s="2" t="s">
        <v>163</v>
      </c>
      <c r="D291" s="3">
        <v>0.70833333333333304</v>
      </c>
      <c r="E291" s="3">
        <v>0.875</v>
      </c>
      <c r="F291" s="2" t="s">
        <v>129</v>
      </c>
      <c r="G291" s="2" t="s">
        <v>52</v>
      </c>
      <c r="H291" s="2">
        <v>5</v>
      </c>
      <c r="I291" s="2" t="s">
        <v>389</v>
      </c>
      <c r="J291" s="5" t="s">
        <v>390</v>
      </c>
      <c r="K291" s="2"/>
      <c r="L291" s="2" t="str">
        <f>IFERROR(VLOOKUP(IFERROR(VLOOKUP(C291,'Destination Alias'!$A:$B,2,FALSE()),C291),'Best Months'!$A:$B,2,FALSE()),"Not listed")</f>
        <v>Dec–Mar</v>
      </c>
    </row>
    <row r="292" spans="1:19" ht="409.6" x14ac:dyDescent="0.3">
      <c r="A292" s="2" t="s">
        <v>388</v>
      </c>
      <c r="B292" s="2" t="s">
        <v>22</v>
      </c>
      <c r="C292" s="2" t="s">
        <v>163</v>
      </c>
      <c r="D292" s="3">
        <v>0.72916666666666696</v>
      </c>
      <c r="E292" s="3">
        <v>0.89583333333333304</v>
      </c>
      <c r="F292" s="2" t="s">
        <v>129</v>
      </c>
      <c r="G292" s="2" t="s">
        <v>52</v>
      </c>
      <c r="H292" s="2">
        <v>5</v>
      </c>
      <c r="I292" s="2" t="s">
        <v>389</v>
      </c>
      <c r="J292" s="5" t="s">
        <v>390</v>
      </c>
      <c r="K292" s="2"/>
      <c r="L292" s="2" t="str">
        <f>IFERROR(VLOOKUP(IFERROR(VLOOKUP(C292,'Destination Alias'!$A:$B,2,FALSE()),C292),'Best Months'!$A:$B,2,FALSE()),"Not listed")</f>
        <v>Dec–Mar</v>
      </c>
    </row>
    <row r="293" spans="1:19" ht="124.8" x14ac:dyDescent="0.3">
      <c r="A293" s="2" t="s">
        <v>388</v>
      </c>
      <c r="B293" s="2" t="s">
        <v>22</v>
      </c>
      <c r="C293" s="2" t="s">
        <v>163</v>
      </c>
      <c r="D293" s="3">
        <v>0.75</v>
      </c>
      <c r="E293" s="3">
        <v>0.91666666666666696</v>
      </c>
      <c r="F293" s="2" t="s">
        <v>129</v>
      </c>
      <c r="G293" s="2" t="s">
        <v>102</v>
      </c>
      <c r="H293" s="2">
        <v>5</v>
      </c>
      <c r="I293" s="2" t="s">
        <v>389</v>
      </c>
      <c r="J293" s="5" t="s">
        <v>390</v>
      </c>
      <c r="K293" s="2"/>
      <c r="L293" s="2" t="str">
        <f>IFERROR(VLOOKUP(IFERROR(VLOOKUP(C293,'Destination Alias'!$A:$B,2,FALSE()),C293),'Best Months'!$A:$B,2,FALSE()),"Not listed")</f>
        <v>Dec–Mar</v>
      </c>
    </row>
    <row r="294" spans="1:19" ht="409.6" x14ac:dyDescent="0.3">
      <c r="A294" s="2" t="s">
        <v>388</v>
      </c>
      <c r="B294" s="2" t="s">
        <v>22</v>
      </c>
      <c r="C294" s="2" t="s">
        <v>163</v>
      </c>
      <c r="D294" s="3">
        <v>0.625</v>
      </c>
      <c r="E294" s="3">
        <v>0.79166666666666696</v>
      </c>
      <c r="F294" s="2" t="s">
        <v>129</v>
      </c>
      <c r="G294" s="2" t="s">
        <v>73</v>
      </c>
      <c r="H294" s="2">
        <v>4.5</v>
      </c>
      <c r="I294" s="2" t="s">
        <v>389</v>
      </c>
      <c r="J294" s="5" t="s">
        <v>390</v>
      </c>
      <c r="K294" s="2"/>
      <c r="L294" s="2" t="str">
        <f>IFERROR(VLOOKUP(IFERROR(VLOOKUP(C294,'Destination Alias'!$A:$B,2,FALSE()),C294),'Best Months'!$A:$B,2,FALSE()),"Not listed")</f>
        <v>Dec–Mar</v>
      </c>
    </row>
    <row r="295" spans="1:19" x14ac:dyDescent="0.3">
      <c r="A295" s="2" t="s">
        <v>391</v>
      </c>
      <c r="B295" s="2" t="s">
        <v>361</v>
      </c>
      <c r="C295" s="2" t="s">
        <v>163</v>
      </c>
      <c r="D295" s="3">
        <v>0.64583333333333304</v>
      </c>
      <c r="E295" s="3">
        <v>0.6875</v>
      </c>
      <c r="F295" s="2" t="s">
        <v>35</v>
      </c>
      <c r="G295" s="2" t="s">
        <v>73</v>
      </c>
      <c r="H295" s="2">
        <v>4.4000000000000004</v>
      </c>
      <c r="I295" s="2" t="s">
        <v>392</v>
      </c>
      <c r="J295" s="2" t="s">
        <v>393</v>
      </c>
      <c r="K295" s="4" t="s">
        <v>394</v>
      </c>
      <c r="L295" s="2" t="str">
        <f>IFERROR(VLOOKUP(IFERROR(VLOOKUP(C295,'Destination Alias'!$A:$B,2,FALSE()),C295),'Best Months'!$A:$B,2,FALSE()),"Not listed")</f>
        <v>Dec–Mar</v>
      </c>
      <c r="S295" t="s">
        <v>394</v>
      </c>
    </row>
    <row r="296" spans="1:19" x14ac:dyDescent="0.3">
      <c r="A296" s="2" t="s">
        <v>391</v>
      </c>
      <c r="B296" s="2" t="s">
        <v>361</v>
      </c>
      <c r="C296" s="2" t="s">
        <v>163</v>
      </c>
      <c r="D296" s="3">
        <v>0.6875</v>
      </c>
      <c r="E296" s="3">
        <v>0.72916666666666696</v>
      </c>
      <c r="F296" s="2" t="s">
        <v>35</v>
      </c>
      <c r="G296" s="2" t="s">
        <v>73</v>
      </c>
      <c r="H296" s="2">
        <v>4.4000000000000004</v>
      </c>
      <c r="I296" s="2" t="s">
        <v>392</v>
      </c>
      <c r="J296" s="2" t="s">
        <v>393</v>
      </c>
      <c r="K296" s="4" t="s">
        <v>394</v>
      </c>
      <c r="L296" s="2" t="str">
        <f>IFERROR(VLOOKUP(IFERROR(VLOOKUP(C296,'Destination Alias'!$A:$B,2,FALSE()),C296),'Best Months'!$A:$B,2,FALSE()),"Not listed")</f>
        <v>Dec–Mar</v>
      </c>
      <c r="S296" t="s">
        <v>394</v>
      </c>
    </row>
    <row r="297" spans="1:19" x14ac:dyDescent="0.3">
      <c r="A297" s="2" t="s">
        <v>391</v>
      </c>
      <c r="B297" s="2" t="s">
        <v>361</v>
      </c>
      <c r="C297" s="2" t="s">
        <v>163</v>
      </c>
      <c r="D297" s="3">
        <v>0.72916666666666696</v>
      </c>
      <c r="E297" s="3">
        <v>0.77083333333333304</v>
      </c>
      <c r="F297" s="2" t="s">
        <v>35</v>
      </c>
      <c r="G297" s="2" t="s">
        <v>52</v>
      </c>
      <c r="H297" s="2">
        <v>4.4000000000000004</v>
      </c>
      <c r="I297" s="2" t="s">
        <v>392</v>
      </c>
      <c r="J297" s="2" t="s">
        <v>393</v>
      </c>
      <c r="K297" s="4" t="s">
        <v>394</v>
      </c>
      <c r="L297" s="2" t="str">
        <f>IFERROR(VLOOKUP(IFERROR(VLOOKUP(C297,'Destination Alias'!$A:$B,2,FALSE()),C297),'Best Months'!$A:$B,2,FALSE()),"Not listed")</f>
        <v>Dec–Mar</v>
      </c>
      <c r="S297" t="s">
        <v>394</v>
      </c>
    </row>
    <row r="298" spans="1:19" x14ac:dyDescent="0.3">
      <c r="A298" s="2" t="s">
        <v>395</v>
      </c>
      <c r="B298" s="2" t="s">
        <v>22</v>
      </c>
      <c r="C298" s="2" t="s">
        <v>163</v>
      </c>
      <c r="D298" s="3">
        <v>0.66666666666666696</v>
      </c>
      <c r="E298" s="3">
        <v>0.68055555555555602</v>
      </c>
      <c r="F298" s="2" t="s">
        <v>396</v>
      </c>
      <c r="G298" s="2" t="s">
        <v>73</v>
      </c>
      <c r="H298" s="2">
        <v>4.5999999999999996</v>
      </c>
      <c r="I298" s="2" t="s">
        <v>397</v>
      </c>
      <c r="J298" s="2" t="s">
        <v>398</v>
      </c>
      <c r="K298" s="4" t="s">
        <v>399</v>
      </c>
      <c r="L298" s="2" t="str">
        <f>IFERROR(VLOOKUP(IFERROR(VLOOKUP(C298,'Destination Alias'!$A:$B,2,FALSE()),C298),'Best Months'!$A:$B,2,FALSE()),"Not listed")</f>
        <v>Dec–Mar</v>
      </c>
      <c r="S298" t="s">
        <v>399</v>
      </c>
    </row>
    <row r="299" spans="1:19" x14ac:dyDescent="0.3">
      <c r="A299" s="2" t="s">
        <v>395</v>
      </c>
      <c r="B299" s="2" t="s">
        <v>22</v>
      </c>
      <c r="C299" s="2" t="s">
        <v>163</v>
      </c>
      <c r="D299" s="3">
        <v>0.68055555555555602</v>
      </c>
      <c r="E299" s="3">
        <v>0.69444444444444398</v>
      </c>
      <c r="F299" s="2" t="s">
        <v>396</v>
      </c>
      <c r="G299" s="2" t="s">
        <v>73</v>
      </c>
      <c r="H299" s="2">
        <v>4.5999999999999996</v>
      </c>
      <c r="I299" s="2" t="s">
        <v>397</v>
      </c>
      <c r="J299" s="2" t="s">
        <v>398</v>
      </c>
      <c r="K299" s="4" t="s">
        <v>399</v>
      </c>
      <c r="L299" s="2" t="str">
        <f>IFERROR(VLOOKUP(IFERROR(VLOOKUP(C299,'Destination Alias'!$A:$B,2,FALSE()),C299),'Best Months'!$A:$B,2,FALSE()),"Not listed")</f>
        <v>Dec–Mar</v>
      </c>
      <c r="S299" t="s">
        <v>399</v>
      </c>
    </row>
    <row r="300" spans="1:19" x14ac:dyDescent="0.3">
      <c r="A300" s="2" t="s">
        <v>395</v>
      </c>
      <c r="B300" s="2" t="s">
        <v>22</v>
      </c>
      <c r="C300" s="2" t="s">
        <v>163</v>
      </c>
      <c r="D300" s="3">
        <v>0.69444444444444398</v>
      </c>
      <c r="E300" s="3">
        <v>0.70833333333333304</v>
      </c>
      <c r="F300" s="2" t="s">
        <v>396</v>
      </c>
      <c r="G300" s="2" t="s">
        <v>73</v>
      </c>
      <c r="H300" s="2">
        <v>4.5999999999999996</v>
      </c>
      <c r="I300" s="2" t="s">
        <v>397</v>
      </c>
      <c r="J300" s="2" t="s">
        <v>398</v>
      </c>
      <c r="K300" s="4" t="s">
        <v>399</v>
      </c>
      <c r="L300" s="2" t="str">
        <f>IFERROR(VLOOKUP(IFERROR(VLOOKUP(C300,'Destination Alias'!$A:$B,2,FALSE()),C300),'Best Months'!$A:$B,2,FALSE()),"Not listed")</f>
        <v>Dec–Mar</v>
      </c>
      <c r="S300" t="s">
        <v>399</v>
      </c>
    </row>
    <row r="301" spans="1:19" x14ac:dyDescent="0.3">
      <c r="A301" s="2" t="s">
        <v>395</v>
      </c>
      <c r="B301" s="2" t="s">
        <v>22</v>
      </c>
      <c r="C301" s="2" t="s">
        <v>163</v>
      </c>
      <c r="D301" s="3">
        <v>0.70833333333333304</v>
      </c>
      <c r="E301" s="3">
        <v>0.72222222222222199</v>
      </c>
      <c r="F301" s="2" t="s">
        <v>396</v>
      </c>
      <c r="G301" s="2" t="s">
        <v>73</v>
      </c>
      <c r="H301" s="2">
        <v>4.5999999999999996</v>
      </c>
      <c r="I301" s="2" t="s">
        <v>397</v>
      </c>
      <c r="J301" s="2" t="s">
        <v>398</v>
      </c>
      <c r="K301" s="4" t="s">
        <v>399</v>
      </c>
      <c r="L301" s="2" t="str">
        <f>IFERROR(VLOOKUP(IFERROR(VLOOKUP(C301,'Destination Alias'!$A:$B,2,FALSE()),C301),'Best Months'!$A:$B,2,FALSE()),"Not listed")</f>
        <v>Dec–Mar</v>
      </c>
      <c r="S301" t="s">
        <v>399</v>
      </c>
    </row>
    <row r="302" spans="1:19" x14ac:dyDescent="0.3">
      <c r="A302" s="2" t="s">
        <v>395</v>
      </c>
      <c r="B302" s="2" t="s">
        <v>22</v>
      </c>
      <c r="C302" s="2" t="s">
        <v>163</v>
      </c>
      <c r="D302" s="3">
        <v>0.72222222222222199</v>
      </c>
      <c r="E302" s="3">
        <v>0.73611111111111105</v>
      </c>
      <c r="F302" s="2" t="s">
        <v>396</v>
      </c>
      <c r="G302" s="2" t="s">
        <v>52</v>
      </c>
      <c r="H302" s="2">
        <v>4.5999999999999996</v>
      </c>
      <c r="I302" s="2" t="s">
        <v>397</v>
      </c>
      <c r="J302" s="2" t="s">
        <v>398</v>
      </c>
      <c r="K302" s="4" t="s">
        <v>399</v>
      </c>
      <c r="L302" s="2" t="str">
        <f>IFERROR(VLOOKUP(IFERROR(VLOOKUP(C302,'Destination Alias'!$A:$B,2,FALSE()),C302),'Best Months'!$A:$B,2,FALSE()),"Not listed")</f>
        <v>Dec–Mar</v>
      </c>
      <c r="S302" t="s">
        <v>399</v>
      </c>
    </row>
    <row r="303" spans="1:19" x14ac:dyDescent="0.3">
      <c r="A303" s="2" t="s">
        <v>395</v>
      </c>
      <c r="B303" s="2" t="s">
        <v>22</v>
      </c>
      <c r="C303" s="2" t="s">
        <v>163</v>
      </c>
      <c r="D303" s="3">
        <v>0.73611111111111105</v>
      </c>
      <c r="E303" s="3">
        <v>0.75</v>
      </c>
      <c r="F303" s="2" t="s">
        <v>396</v>
      </c>
      <c r="G303" s="2" t="s">
        <v>52</v>
      </c>
      <c r="H303" s="2">
        <v>4.5999999999999996</v>
      </c>
      <c r="I303" s="2" t="s">
        <v>397</v>
      </c>
      <c r="J303" s="2" t="s">
        <v>398</v>
      </c>
      <c r="K303" s="4" t="s">
        <v>399</v>
      </c>
      <c r="L303" s="2" t="str">
        <f>IFERROR(VLOOKUP(IFERROR(VLOOKUP(C303,'Destination Alias'!$A:$B,2,FALSE()),C303),'Best Months'!$A:$B,2,FALSE()),"Not listed")</f>
        <v>Dec–Mar</v>
      </c>
      <c r="S303" t="s">
        <v>399</v>
      </c>
    </row>
    <row r="304" spans="1:19" x14ac:dyDescent="0.3">
      <c r="A304" s="2" t="s">
        <v>395</v>
      </c>
      <c r="B304" s="2" t="s">
        <v>22</v>
      </c>
      <c r="C304" s="2" t="s">
        <v>163</v>
      </c>
      <c r="D304" s="3">
        <v>0.75</v>
      </c>
      <c r="E304" s="3">
        <v>0.76388888888888895</v>
      </c>
      <c r="F304" s="2" t="s">
        <v>396</v>
      </c>
      <c r="G304" s="2" t="s">
        <v>52</v>
      </c>
      <c r="H304" s="2">
        <v>4.5999999999999996</v>
      </c>
      <c r="I304" s="2" t="s">
        <v>397</v>
      </c>
      <c r="J304" s="2" t="s">
        <v>398</v>
      </c>
      <c r="K304" s="4" t="s">
        <v>399</v>
      </c>
      <c r="L304" s="2" t="str">
        <f>IFERROR(VLOOKUP(IFERROR(VLOOKUP(C304,'Destination Alias'!$A:$B,2,FALSE()),C304),'Best Months'!$A:$B,2,FALSE()),"Not listed")</f>
        <v>Dec–Mar</v>
      </c>
      <c r="S304" t="s">
        <v>399</v>
      </c>
    </row>
    <row r="305" spans="1:19" x14ac:dyDescent="0.3">
      <c r="A305" s="2" t="s">
        <v>400</v>
      </c>
      <c r="B305" s="2" t="s">
        <v>49</v>
      </c>
      <c r="C305" s="2" t="s">
        <v>213</v>
      </c>
      <c r="D305" s="3">
        <v>0.375</v>
      </c>
      <c r="E305" s="3">
        <v>0.45833333333333298</v>
      </c>
      <c r="F305" s="2" t="s">
        <v>51</v>
      </c>
      <c r="G305" s="2" t="s">
        <v>20</v>
      </c>
      <c r="H305" s="2">
        <v>4.3</v>
      </c>
      <c r="I305" s="2" t="s">
        <v>401</v>
      </c>
      <c r="J305" s="2" t="s">
        <v>402</v>
      </c>
      <c r="K305" s="2" t="s">
        <v>403</v>
      </c>
      <c r="L305" s="2" t="str">
        <f>IFERROR(VLOOKUP(IFERROR(VLOOKUP(C305,'Destination Alias'!$A:$B,2,FALSE()),C305),'Best Months'!$A:$B,2,FALSE()),"Not listed")</f>
        <v>Jan–Mar</v>
      </c>
    </row>
    <row r="306" spans="1:19" x14ac:dyDescent="0.3">
      <c r="A306" s="2" t="s">
        <v>404</v>
      </c>
      <c r="B306" s="2" t="s">
        <v>22</v>
      </c>
      <c r="C306" s="2" t="s">
        <v>27</v>
      </c>
      <c r="D306" s="3">
        <v>0.27083333333333298</v>
      </c>
      <c r="E306" s="3">
        <v>0.35416666666666702</v>
      </c>
      <c r="F306" s="2" t="s">
        <v>51</v>
      </c>
      <c r="G306" s="2" t="s">
        <v>28</v>
      </c>
      <c r="H306" s="2">
        <v>4.4000000000000004</v>
      </c>
      <c r="I306" s="2" t="s">
        <v>405</v>
      </c>
      <c r="J306" s="2" t="s">
        <v>406</v>
      </c>
      <c r="K306" s="2"/>
      <c r="L306" s="2" t="str">
        <f>IFERROR(VLOOKUP(IFERROR(VLOOKUP(C306,'Destination Alias'!$A:$B,2,FALSE()),C306),'Best Months'!$A:$B,2,FALSE()),"Not listed")</f>
        <v>May–Sep</v>
      </c>
    </row>
    <row r="307" spans="1:19" x14ac:dyDescent="0.3">
      <c r="A307" s="2" t="s">
        <v>407</v>
      </c>
      <c r="B307" s="2" t="s">
        <v>49</v>
      </c>
      <c r="C307" s="2" t="s">
        <v>23</v>
      </c>
      <c r="D307" s="3">
        <v>0.3125</v>
      </c>
      <c r="E307" s="3">
        <v>0.375</v>
      </c>
      <c r="F307" s="2" t="s">
        <v>15</v>
      </c>
      <c r="G307" s="2" t="s">
        <v>38</v>
      </c>
      <c r="H307" s="2">
        <v>4.5</v>
      </c>
      <c r="I307" s="2" t="s">
        <v>408</v>
      </c>
      <c r="J307" s="2" t="s">
        <v>409</v>
      </c>
      <c r="K307" s="4" t="s">
        <v>410</v>
      </c>
      <c r="L307" s="2" t="str">
        <f>IFERROR(VLOOKUP(IFERROR(VLOOKUP(C307,'Destination Alias'!$A:$B,2,FALSE()),C307),'Best Months'!$A:$B,2,FALSE()),"Not listed")</f>
        <v>Dec–Mar</v>
      </c>
      <c r="S307" t="s">
        <v>410</v>
      </c>
    </row>
    <row r="308" spans="1:19" x14ac:dyDescent="0.3">
      <c r="A308" s="2" t="s">
        <v>407</v>
      </c>
      <c r="B308" s="2" t="s">
        <v>49</v>
      </c>
      <c r="C308" s="2" t="s">
        <v>23</v>
      </c>
      <c r="D308" s="3">
        <v>0.375</v>
      </c>
      <c r="E308" s="3">
        <v>0.4375</v>
      </c>
      <c r="F308" s="2" t="s">
        <v>15</v>
      </c>
      <c r="G308" s="2" t="s">
        <v>20</v>
      </c>
      <c r="H308" s="2">
        <v>4.5</v>
      </c>
      <c r="I308" s="2" t="s">
        <v>408</v>
      </c>
      <c r="J308" s="2" t="s">
        <v>409</v>
      </c>
      <c r="K308" s="4" t="s">
        <v>410</v>
      </c>
      <c r="L308" s="2" t="str">
        <f>IFERROR(VLOOKUP(IFERROR(VLOOKUP(C308,'Destination Alias'!$A:$B,2,FALSE()),C308),'Best Months'!$A:$B,2,FALSE()),"Not listed")</f>
        <v>Dec–Mar</v>
      </c>
      <c r="S308" t="s">
        <v>410</v>
      </c>
    </row>
    <row r="309" spans="1:19" x14ac:dyDescent="0.3">
      <c r="A309" s="2" t="s">
        <v>411</v>
      </c>
      <c r="B309" s="2" t="s">
        <v>49</v>
      </c>
      <c r="C309" s="2" t="s">
        <v>50</v>
      </c>
      <c r="D309" s="3">
        <v>0.70833333333333304</v>
      </c>
      <c r="E309" s="3">
        <v>0.73958333333333304</v>
      </c>
      <c r="F309" s="2" t="s">
        <v>90</v>
      </c>
      <c r="G309" s="2" t="s">
        <v>52</v>
      </c>
      <c r="H309" s="2">
        <v>4.5</v>
      </c>
      <c r="I309" s="2" t="s">
        <v>412</v>
      </c>
      <c r="J309" s="2" t="s">
        <v>413</v>
      </c>
      <c r="K309" s="4" t="s">
        <v>414</v>
      </c>
      <c r="L309" s="2" t="str">
        <f>IFERROR(VLOOKUP(IFERROR(VLOOKUP(C309,'Destination Alias'!$A:$B,2,FALSE()),C309),'Best Months'!$A:$B,2,FALSE()),"Not listed")</f>
        <v>Dec–Mar</v>
      </c>
      <c r="S309" t="s">
        <v>414</v>
      </c>
    </row>
    <row r="310" spans="1:19" x14ac:dyDescent="0.3">
      <c r="A310" s="2" t="s">
        <v>411</v>
      </c>
      <c r="B310" s="2" t="s">
        <v>49</v>
      </c>
      <c r="C310" s="2" t="s">
        <v>50</v>
      </c>
      <c r="D310" s="3">
        <v>0.73958333333333304</v>
      </c>
      <c r="E310" s="3">
        <v>0.77083333333333304</v>
      </c>
      <c r="F310" s="2" t="s">
        <v>90</v>
      </c>
      <c r="G310" s="2" t="s">
        <v>52</v>
      </c>
      <c r="H310" s="2">
        <v>4.5</v>
      </c>
      <c r="I310" s="2" t="s">
        <v>412</v>
      </c>
      <c r="J310" s="2" t="s">
        <v>413</v>
      </c>
      <c r="K310" s="4" t="s">
        <v>414</v>
      </c>
      <c r="L310" s="2" t="str">
        <f>IFERROR(VLOOKUP(IFERROR(VLOOKUP(C310,'Destination Alias'!$A:$B,2,FALSE()),C310),'Best Months'!$A:$B,2,FALSE()),"Not listed")</f>
        <v>Dec–Mar</v>
      </c>
      <c r="S310" t="s">
        <v>414</v>
      </c>
    </row>
    <row r="311" spans="1:19" x14ac:dyDescent="0.3">
      <c r="A311" s="2" t="s">
        <v>415</v>
      </c>
      <c r="B311" s="2" t="s">
        <v>22</v>
      </c>
      <c r="C311" s="2"/>
      <c r="D311" s="3">
        <v>0.22916666666666699</v>
      </c>
      <c r="E311" s="3">
        <v>0.29166666666666702</v>
      </c>
      <c r="F311" s="2" t="s">
        <v>15</v>
      </c>
      <c r="G311" s="2" t="s">
        <v>28</v>
      </c>
      <c r="H311" s="2">
        <v>5</v>
      </c>
      <c r="I311" s="2" t="s">
        <v>416</v>
      </c>
      <c r="J311" s="2" t="s">
        <v>417</v>
      </c>
      <c r="K311" s="4" t="s">
        <v>418</v>
      </c>
      <c r="L311" s="2" t="str">
        <f>IFERROR(VLOOKUP(IFERROR(VLOOKUP(C311,'Destination Alias'!$A:$B,2,FALSE()),C311),'Best Months'!$A:$B,2,FALSE()),"Not listed")</f>
        <v>Not listed</v>
      </c>
      <c r="S311" t="s">
        <v>418</v>
      </c>
    </row>
    <row r="312" spans="1:19" x14ac:dyDescent="0.3">
      <c r="A312" s="2" t="s">
        <v>415</v>
      </c>
      <c r="B312" s="2" t="s">
        <v>22</v>
      </c>
      <c r="C312" s="2"/>
      <c r="D312" s="3">
        <v>0.25</v>
      </c>
      <c r="E312" s="3">
        <v>0.3125</v>
      </c>
      <c r="F312" s="2" t="s">
        <v>15</v>
      </c>
      <c r="G312" s="2" t="s">
        <v>28</v>
      </c>
      <c r="H312" s="2">
        <v>4</v>
      </c>
      <c r="I312" s="2" t="s">
        <v>416</v>
      </c>
      <c r="J312" s="2" t="s">
        <v>417</v>
      </c>
      <c r="K312" s="4" t="s">
        <v>418</v>
      </c>
      <c r="L312" s="2" t="str">
        <f>IFERROR(VLOOKUP(IFERROR(VLOOKUP(C312,'Destination Alias'!$A:$B,2,FALSE()),C312),'Best Months'!$A:$B,2,FALSE()),"Not listed")</f>
        <v>Not listed</v>
      </c>
      <c r="S312" t="s">
        <v>418</v>
      </c>
    </row>
    <row r="313" spans="1:19" x14ac:dyDescent="0.3">
      <c r="A313" s="2" t="s">
        <v>415</v>
      </c>
      <c r="B313" s="2" t="s">
        <v>22</v>
      </c>
      <c r="C313" s="2"/>
      <c r="D313" s="3">
        <v>0.35416666666666702</v>
      </c>
      <c r="E313" s="3">
        <v>0.41666666666666702</v>
      </c>
      <c r="F313" s="2" t="s">
        <v>15</v>
      </c>
      <c r="G313" s="2" t="s">
        <v>16</v>
      </c>
      <c r="H313" s="2">
        <v>4</v>
      </c>
      <c r="I313" s="2" t="s">
        <v>416</v>
      </c>
      <c r="J313" s="2" t="s">
        <v>417</v>
      </c>
      <c r="K313" s="4" t="s">
        <v>418</v>
      </c>
      <c r="L313" s="2" t="str">
        <f>IFERROR(VLOOKUP(IFERROR(VLOOKUP(C313,'Destination Alias'!$A:$B,2,FALSE()),C313),'Best Months'!$A:$B,2,FALSE()),"Not listed")</f>
        <v>Not listed</v>
      </c>
      <c r="S313" t="s">
        <v>418</v>
      </c>
    </row>
    <row r="314" spans="1:19" x14ac:dyDescent="0.3">
      <c r="A314" s="2" t="s">
        <v>415</v>
      </c>
      <c r="B314" s="2" t="s">
        <v>22</v>
      </c>
      <c r="C314" s="2"/>
      <c r="D314" s="3">
        <v>0.72916666666666696</v>
      </c>
      <c r="E314" s="3">
        <v>0.79166666666666696</v>
      </c>
      <c r="F314" s="2" t="s">
        <v>15</v>
      </c>
      <c r="G314" s="2" t="s">
        <v>52</v>
      </c>
      <c r="H314" s="2">
        <v>5</v>
      </c>
      <c r="I314" s="2" t="s">
        <v>416</v>
      </c>
      <c r="J314" s="2" t="s">
        <v>417</v>
      </c>
      <c r="K314" s="4" t="s">
        <v>418</v>
      </c>
      <c r="L314" s="2" t="str">
        <f>IFERROR(VLOOKUP(IFERROR(VLOOKUP(C314,'Destination Alias'!$A:$B,2,FALSE()),C314),'Best Months'!$A:$B,2,FALSE()),"Not listed")</f>
        <v>Not listed</v>
      </c>
      <c r="S314" t="s">
        <v>418</v>
      </c>
    </row>
    <row r="315" spans="1:19" x14ac:dyDescent="0.3">
      <c r="A315" s="2" t="s">
        <v>415</v>
      </c>
      <c r="B315" s="2" t="s">
        <v>22</v>
      </c>
      <c r="C315" s="2"/>
      <c r="D315" s="3">
        <v>0.75</v>
      </c>
      <c r="E315" s="3">
        <v>0.8125</v>
      </c>
      <c r="F315" s="2" t="s">
        <v>15</v>
      </c>
      <c r="G315" s="2" t="s">
        <v>102</v>
      </c>
      <c r="H315" s="2">
        <v>5</v>
      </c>
      <c r="I315" s="2" t="s">
        <v>416</v>
      </c>
      <c r="J315" s="2" t="s">
        <v>417</v>
      </c>
      <c r="K315" s="4" t="s">
        <v>418</v>
      </c>
      <c r="L315" s="2" t="str">
        <f>IFERROR(VLOOKUP(IFERROR(VLOOKUP(C315,'Destination Alias'!$A:$B,2,FALSE()),C315),'Best Months'!$A:$B,2,FALSE()),"Not listed")</f>
        <v>Not listed</v>
      </c>
      <c r="S315" t="s">
        <v>418</v>
      </c>
    </row>
    <row r="316" spans="1:19" x14ac:dyDescent="0.3">
      <c r="A316" s="2" t="s">
        <v>415</v>
      </c>
      <c r="B316" s="2" t="s">
        <v>22</v>
      </c>
      <c r="C316" s="2"/>
      <c r="D316" s="3">
        <v>0.75</v>
      </c>
      <c r="E316" s="3">
        <v>0.8125</v>
      </c>
      <c r="F316" s="2" t="s">
        <v>15</v>
      </c>
      <c r="G316" s="2" t="s">
        <v>102</v>
      </c>
      <c r="H316" s="2">
        <v>5</v>
      </c>
      <c r="I316" s="2" t="s">
        <v>416</v>
      </c>
      <c r="J316" s="2" t="s">
        <v>417</v>
      </c>
      <c r="K316" s="4" t="s">
        <v>418</v>
      </c>
      <c r="L316" s="2" t="str">
        <f>IFERROR(VLOOKUP(IFERROR(VLOOKUP(C316,'Destination Alias'!$A:$B,2,FALSE()),C316),'Best Months'!$A:$B,2,FALSE()),"Not listed")</f>
        <v>Not listed</v>
      </c>
      <c r="S316" t="s">
        <v>418</v>
      </c>
    </row>
    <row r="317" spans="1:19" x14ac:dyDescent="0.3">
      <c r="A317" s="2" t="s">
        <v>415</v>
      </c>
      <c r="B317" s="2" t="s">
        <v>22</v>
      </c>
      <c r="C317" s="2"/>
      <c r="D317" s="3">
        <v>0.33333333333333298</v>
      </c>
      <c r="E317" s="3">
        <v>0.39583333333333298</v>
      </c>
      <c r="F317" s="2" t="s">
        <v>15</v>
      </c>
      <c r="G317" s="2" t="s">
        <v>16</v>
      </c>
      <c r="H317" s="2">
        <v>4.5999999999999996</v>
      </c>
      <c r="I317" s="2" t="s">
        <v>416</v>
      </c>
      <c r="J317" s="2" t="s">
        <v>417</v>
      </c>
      <c r="K317" s="4" t="s">
        <v>418</v>
      </c>
      <c r="L317" s="2" t="str">
        <f>IFERROR(VLOOKUP(IFERROR(VLOOKUP(C317,'Destination Alias'!$A:$B,2,FALSE()),C317),'Best Months'!$A:$B,2,FALSE()),"Not listed")</f>
        <v>Not listed</v>
      </c>
      <c r="S317" t="s">
        <v>418</v>
      </c>
    </row>
    <row r="318" spans="1:19" x14ac:dyDescent="0.3">
      <c r="A318" s="2" t="s">
        <v>415</v>
      </c>
      <c r="B318" s="2" t="s">
        <v>22</v>
      </c>
      <c r="C318" s="2"/>
      <c r="D318" s="3">
        <v>0.39583333333333298</v>
      </c>
      <c r="E318" s="3">
        <v>0.45833333333333298</v>
      </c>
      <c r="F318" s="2" t="s">
        <v>15</v>
      </c>
      <c r="G318" s="2" t="s">
        <v>20</v>
      </c>
      <c r="H318" s="2">
        <v>4.5999999999999996</v>
      </c>
      <c r="I318" s="2" t="s">
        <v>416</v>
      </c>
      <c r="J318" s="2" t="s">
        <v>417</v>
      </c>
      <c r="K318" s="4" t="s">
        <v>418</v>
      </c>
      <c r="L318" s="2" t="str">
        <f>IFERROR(VLOOKUP(IFERROR(VLOOKUP(C318,'Destination Alias'!$A:$B,2,FALSE()),C318),'Best Months'!$A:$B,2,FALSE()),"Not listed")</f>
        <v>Not listed</v>
      </c>
      <c r="S318" t="s">
        <v>418</v>
      </c>
    </row>
    <row r="319" spans="1:19" x14ac:dyDescent="0.3">
      <c r="A319" s="2" t="s">
        <v>419</v>
      </c>
      <c r="B319" s="2" t="s">
        <v>13</v>
      </c>
      <c r="C319" s="2" t="s">
        <v>213</v>
      </c>
      <c r="D319" s="3">
        <v>0.33333333333333298</v>
      </c>
      <c r="E319" s="3">
        <v>0.39583333333333298</v>
      </c>
      <c r="F319" s="2" t="s">
        <v>15</v>
      </c>
      <c r="G319" s="2" t="s">
        <v>16</v>
      </c>
      <c r="H319" s="2">
        <v>3.9</v>
      </c>
      <c r="I319" s="2" t="s">
        <v>420</v>
      </c>
      <c r="J319" s="2" t="s">
        <v>421</v>
      </c>
      <c r="K319" s="4" t="s">
        <v>422</v>
      </c>
      <c r="L319" s="2" t="str">
        <f>IFERROR(VLOOKUP(IFERROR(VLOOKUP(C319,'Destination Alias'!$A:$B,2,FALSE()),C319),'Best Months'!$A:$B,2,FALSE()),"Not listed")</f>
        <v>Jan–Mar</v>
      </c>
      <c r="S319" t="s">
        <v>422</v>
      </c>
    </row>
    <row r="320" spans="1:19" x14ac:dyDescent="0.3">
      <c r="A320" s="2" t="s">
        <v>419</v>
      </c>
      <c r="B320" s="2" t="s">
        <v>13</v>
      </c>
      <c r="C320" s="2" t="s">
        <v>213</v>
      </c>
      <c r="D320" s="3">
        <v>0.39583333333333298</v>
      </c>
      <c r="E320" s="3">
        <v>0.45833333333333298</v>
      </c>
      <c r="F320" s="2" t="s">
        <v>15</v>
      </c>
      <c r="G320" s="2" t="s">
        <v>20</v>
      </c>
      <c r="H320" s="2">
        <v>3.9</v>
      </c>
      <c r="I320" s="2" t="s">
        <v>420</v>
      </c>
      <c r="J320" s="2" t="s">
        <v>421</v>
      </c>
      <c r="K320" s="4" t="s">
        <v>422</v>
      </c>
      <c r="L320" s="2" t="str">
        <f>IFERROR(VLOOKUP(IFERROR(VLOOKUP(C320,'Destination Alias'!$A:$B,2,FALSE()),C320),'Best Months'!$A:$B,2,FALSE()),"Not listed")</f>
        <v>Jan–Mar</v>
      </c>
      <c r="S320" t="s">
        <v>422</v>
      </c>
    </row>
    <row r="321" spans="1:19" x14ac:dyDescent="0.3">
      <c r="A321" s="2" t="s">
        <v>423</v>
      </c>
      <c r="B321" s="2" t="s">
        <v>13</v>
      </c>
      <c r="C321" s="2" t="s">
        <v>213</v>
      </c>
      <c r="D321" s="3">
        <v>0.33333333333333298</v>
      </c>
      <c r="E321" s="3">
        <v>0.39583333333333298</v>
      </c>
      <c r="F321" s="2" t="s">
        <v>15</v>
      </c>
      <c r="G321" s="2" t="s">
        <v>16</v>
      </c>
      <c r="H321" s="2">
        <v>3.9</v>
      </c>
      <c r="I321" s="2" t="s">
        <v>420</v>
      </c>
      <c r="J321" s="2" t="s">
        <v>424</v>
      </c>
      <c r="K321" s="4" t="s">
        <v>425</v>
      </c>
      <c r="L321" s="2" t="str">
        <f>IFERROR(VLOOKUP(IFERROR(VLOOKUP(C321,'Destination Alias'!$A:$B,2,FALSE()),C321),'Best Months'!$A:$B,2,FALSE()),"Not listed")</f>
        <v>Jan–Mar</v>
      </c>
      <c r="S321" t="s">
        <v>425</v>
      </c>
    </row>
    <row r="322" spans="1:19" x14ac:dyDescent="0.3">
      <c r="A322" s="2" t="s">
        <v>423</v>
      </c>
      <c r="B322" s="2" t="s">
        <v>13</v>
      </c>
      <c r="C322" s="2" t="s">
        <v>213</v>
      </c>
      <c r="D322" s="3">
        <v>0.39583333333333298</v>
      </c>
      <c r="E322" s="3">
        <v>0.45833333333333298</v>
      </c>
      <c r="F322" s="2" t="s">
        <v>15</v>
      </c>
      <c r="G322" s="2" t="s">
        <v>20</v>
      </c>
      <c r="H322" s="2">
        <v>3.9</v>
      </c>
      <c r="I322" s="2" t="s">
        <v>420</v>
      </c>
      <c r="J322" s="2" t="s">
        <v>424</v>
      </c>
      <c r="K322" s="4" t="s">
        <v>425</v>
      </c>
      <c r="L322" s="2" t="str">
        <f>IFERROR(VLOOKUP(IFERROR(VLOOKUP(C322,'Destination Alias'!$A:$B,2,FALSE()),C322),'Best Months'!$A:$B,2,FALSE()),"Not listed")</f>
        <v>Jan–Mar</v>
      </c>
      <c r="S322" t="s">
        <v>425</v>
      </c>
    </row>
    <row r="323" spans="1:19" x14ac:dyDescent="0.3">
      <c r="A323" s="2" t="s">
        <v>426</v>
      </c>
      <c r="B323" s="2" t="s">
        <v>13</v>
      </c>
      <c r="C323" s="2" t="s">
        <v>23</v>
      </c>
      <c r="D323" s="3">
        <v>0.33333333333333298</v>
      </c>
      <c r="E323" s="3">
        <v>0.39583333333333298</v>
      </c>
      <c r="F323" s="2" t="s">
        <v>15</v>
      </c>
      <c r="G323" s="2" t="s">
        <v>16</v>
      </c>
      <c r="H323" s="2">
        <v>4</v>
      </c>
      <c r="I323" s="2" t="s">
        <v>17</v>
      </c>
      <c r="J323" s="2" t="s">
        <v>427</v>
      </c>
      <c r="K323" s="4" t="s">
        <v>428</v>
      </c>
      <c r="L323" s="2" t="str">
        <f>IFERROR(VLOOKUP(IFERROR(VLOOKUP(C323,'Destination Alias'!$A:$B,2,FALSE()),C323),'Best Months'!$A:$B,2,FALSE()),"Not listed")</f>
        <v>Dec–Mar</v>
      </c>
      <c r="S323" t="s">
        <v>428</v>
      </c>
    </row>
    <row r="324" spans="1:19" x14ac:dyDescent="0.3">
      <c r="A324" s="2" t="s">
        <v>426</v>
      </c>
      <c r="B324" s="2" t="s">
        <v>13</v>
      </c>
      <c r="C324" s="2" t="s">
        <v>23</v>
      </c>
      <c r="D324" s="3">
        <v>0.39583333333333298</v>
      </c>
      <c r="E324" s="3">
        <v>0.45833333333333298</v>
      </c>
      <c r="F324" s="2" t="s">
        <v>15</v>
      </c>
      <c r="G324" s="2" t="s">
        <v>20</v>
      </c>
      <c r="H324" s="2">
        <v>4</v>
      </c>
      <c r="I324" s="2" t="s">
        <v>17</v>
      </c>
      <c r="J324" s="2" t="s">
        <v>427</v>
      </c>
      <c r="K324" s="4" t="s">
        <v>428</v>
      </c>
      <c r="L324" s="2" t="str">
        <f>IFERROR(VLOOKUP(IFERROR(VLOOKUP(C324,'Destination Alias'!$A:$B,2,FALSE()),C324),'Best Months'!$A:$B,2,FALSE()),"Not listed")</f>
        <v>Dec–Mar</v>
      </c>
      <c r="S324" t="s">
        <v>428</v>
      </c>
    </row>
    <row r="325" spans="1:19" x14ac:dyDescent="0.3">
      <c r="A325" s="2" t="s">
        <v>429</v>
      </c>
      <c r="B325" s="2" t="s">
        <v>13</v>
      </c>
      <c r="C325" s="2" t="s">
        <v>297</v>
      </c>
      <c r="D325" s="3">
        <v>0.20833333333333301</v>
      </c>
      <c r="E325" s="3">
        <v>0.3125</v>
      </c>
      <c r="F325" s="2" t="s">
        <v>430</v>
      </c>
      <c r="G325" s="2" t="s">
        <v>28</v>
      </c>
      <c r="H325" s="2">
        <v>4</v>
      </c>
      <c r="I325" s="2" t="s">
        <v>431</v>
      </c>
      <c r="J325" s="2" t="s">
        <v>432</v>
      </c>
      <c r="K325" s="2"/>
      <c r="L325" s="2" t="str">
        <f>IFERROR(VLOOKUP(IFERROR(VLOOKUP(C325,'Destination Alias'!$A:$B,2,FALSE()),C325),'Best Months'!$A:$B,2,FALSE()),"Not listed")</f>
        <v>Jan–Mar, Jul–Aug</v>
      </c>
    </row>
    <row r="326" spans="1:19" x14ac:dyDescent="0.3">
      <c r="A326" s="2" t="s">
        <v>429</v>
      </c>
      <c r="B326" s="2" t="s">
        <v>13</v>
      </c>
      <c r="C326" s="2" t="s">
        <v>297</v>
      </c>
      <c r="D326" s="3">
        <v>0.27083333333333298</v>
      </c>
      <c r="E326" s="3">
        <v>0.375</v>
      </c>
      <c r="F326" s="2" t="s">
        <v>430</v>
      </c>
      <c r="G326" s="2" t="s">
        <v>28</v>
      </c>
      <c r="H326" s="2">
        <v>4</v>
      </c>
      <c r="I326" s="2" t="s">
        <v>431</v>
      </c>
      <c r="J326" s="2" t="s">
        <v>432</v>
      </c>
      <c r="K326" s="2"/>
      <c r="L326" s="2" t="str">
        <f>IFERROR(VLOOKUP(IFERROR(VLOOKUP(C326,'Destination Alias'!$A:$B,2,FALSE()),C326),'Best Months'!$A:$B,2,FALSE()),"Not listed")</f>
        <v>Jan–Mar, Jul–Aug</v>
      </c>
    </row>
    <row r="327" spans="1:19" x14ac:dyDescent="0.3">
      <c r="A327" s="2" t="s">
        <v>429</v>
      </c>
      <c r="B327" s="2" t="s">
        <v>13</v>
      </c>
      <c r="C327" s="2" t="s">
        <v>297</v>
      </c>
      <c r="D327" s="3">
        <v>0.35416666666666702</v>
      </c>
      <c r="E327" s="3">
        <v>0.45833333333333298</v>
      </c>
      <c r="F327" s="2" t="s">
        <v>430</v>
      </c>
      <c r="G327" s="2" t="s">
        <v>16</v>
      </c>
      <c r="H327" s="2">
        <v>5</v>
      </c>
      <c r="I327" s="2" t="s">
        <v>431</v>
      </c>
      <c r="J327" s="2" t="s">
        <v>432</v>
      </c>
      <c r="K327" s="2"/>
      <c r="L327" s="2" t="str">
        <f>IFERROR(VLOOKUP(IFERROR(VLOOKUP(C327,'Destination Alias'!$A:$B,2,FALSE()),C327),'Best Months'!$A:$B,2,FALSE()),"Not listed")</f>
        <v>Jan–Mar, Jul–Aug</v>
      </c>
    </row>
    <row r="328" spans="1:19" x14ac:dyDescent="0.3">
      <c r="A328" s="2" t="s">
        <v>429</v>
      </c>
      <c r="B328" s="2" t="s">
        <v>13</v>
      </c>
      <c r="C328" s="2" t="s">
        <v>297</v>
      </c>
      <c r="D328" s="3">
        <v>0.625</v>
      </c>
      <c r="E328" s="3">
        <v>0.72916666666666696</v>
      </c>
      <c r="F328" s="2" t="s">
        <v>430</v>
      </c>
      <c r="G328" s="2" t="s">
        <v>73</v>
      </c>
      <c r="H328" s="2">
        <v>4</v>
      </c>
      <c r="I328" s="2" t="s">
        <v>431</v>
      </c>
      <c r="J328" s="2" t="s">
        <v>432</v>
      </c>
      <c r="K328" s="2"/>
      <c r="L328" s="2" t="str">
        <f>IFERROR(VLOOKUP(IFERROR(VLOOKUP(C328,'Destination Alias'!$A:$B,2,FALSE()),C328),'Best Months'!$A:$B,2,FALSE()),"Not listed")</f>
        <v>Jan–Mar, Jul–Aug</v>
      </c>
    </row>
    <row r="329" spans="1:19" x14ac:dyDescent="0.3">
      <c r="A329" s="2" t="s">
        <v>429</v>
      </c>
      <c r="B329" s="2" t="s">
        <v>13</v>
      </c>
      <c r="C329" s="2" t="s">
        <v>297</v>
      </c>
      <c r="D329" s="3">
        <v>0.72916666666666696</v>
      </c>
      <c r="E329" s="3">
        <v>0.83333333333333304</v>
      </c>
      <c r="F329" s="2" t="s">
        <v>430</v>
      </c>
      <c r="G329" s="2" t="s">
        <v>52</v>
      </c>
      <c r="H329" s="2">
        <v>5</v>
      </c>
      <c r="I329" s="2" t="s">
        <v>431</v>
      </c>
      <c r="J329" s="2" t="s">
        <v>432</v>
      </c>
      <c r="K329" s="2"/>
      <c r="L329" s="2" t="str">
        <f>IFERROR(VLOOKUP(IFERROR(VLOOKUP(C329,'Destination Alias'!$A:$B,2,FALSE()),C329),'Best Months'!$A:$B,2,FALSE()),"Not listed")</f>
        <v>Jan–Mar, Jul–Aug</v>
      </c>
    </row>
    <row r="330" spans="1:19" x14ac:dyDescent="0.3">
      <c r="A330" s="2" t="s">
        <v>429</v>
      </c>
      <c r="B330" s="2" t="s">
        <v>13</v>
      </c>
      <c r="C330" s="2" t="s">
        <v>297</v>
      </c>
      <c r="D330" s="3">
        <v>0.75</v>
      </c>
      <c r="E330" s="3">
        <v>0.85416666666666696</v>
      </c>
      <c r="F330" s="2" t="s">
        <v>430</v>
      </c>
      <c r="G330" s="2" t="s">
        <v>102</v>
      </c>
      <c r="H330" s="2">
        <v>5</v>
      </c>
      <c r="I330" s="2" t="s">
        <v>431</v>
      </c>
      <c r="J330" s="2" t="s">
        <v>432</v>
      </c>
      <c r="K330" s="2"/>
      <c r="L330" s="2" t="str">
        <f>IFERROR(VLOOKUP(IFERROR(VLOOKUP(C330,'Destination Alias'!$A:$B,2,FALSE()),C330),'Best Months'!$A:$B,2,FALSE()),"Not listed")</f>
        <v>Jan–Mar, Jul–Aug</v>
      </c>
    </row>
    <row r="331" spans="1:19" x14ac:dyDescent="0.3">
      <c r="A331" s="2" t="s">
        <v>429</v>
      </c>
      <c r="B331" s="2" t="s">
        <v>13</v>
      </c>
      <c r="C331" s="2" t="s">
        <v>297</v>
      </c>
      <c r="D331" s="3">
        <v>0.64583333333333304</v>
      </c>
      <c r="E331" s="3">
        <v>0.75</v>
      </c>
      <c r="F331" s="2" t="s">
        <v>430</v>
      </c>
      <c r="G331" s="2" t="s">
        <v>73</v>
      </c>
      <c r="H331" s="2">
        <v>4.4000000000000004</v>
      </c>
      <c r="I331" s="2" t="s">
        <v>431</v>
      </c>
      <c r="J331" s="2" t="s">
        <v>432</v>
      </c>
      <c r="K331" s="2"/>
      <c r="L331" s="2" t="str">
        <f>IFERROR(VLOOKUP(IFERROR(VLOOKUP(C331,'Destination Alias'!$A:$B,2,FALSE()),C331),'Best Months'!$A:$B,2,FALSE()),"Not listed")</f>
        <v>Jan–Mar, Jul–Aug</v>
      </c>
    </row>
    <row r="332" spans="1:19" x14ac:dyDescent="0.3">
      <c r="A332" s="2" t="s">
        <v>433</v>
      </c>
      <c r="B332" s="2" t="s">
        <v>49</v>
      </c>
      <c r="C332" s="2" t="s">
        <v>23</v>
      </c>
      <c r="D332" s="3">
        <v>0.66666666666666696</v>
      </c>
      <c r="E332" s="3">
        <v>0.72916666666666696</v>
      </c>
      <c r="F332" s="2" t="s">
        <v>15</v>
      </c>
      <c r="G332" s="2" t="s">
        <v>73</v>
      </c>
      <c r="H332" s="2">
        <v>4.5</v>
      </c>
      <c r="I332" s="2" t="s">
        <v>434</v>
      </c>
      <c r="J332" s="2" t="s">
        <v>435</v>
      </c>
      <c r="K332" s="4" t="s">
        <v>436</v>
      </c>
      <c r="L332" s="2" t="str">
        <f>IFERROR(VLOOKUP(IFERROR(VLOOKUP(C332,'Destination Alias'!$A:$B,2,FALSE()),C332),'Best Months'!$A:$B,2,FALSE()),"Not listed")</f>
        <v>Dec–Mar</v>
      </c>
      <c r="S332" t="s">
        <v>436</v>
      </c>
    </row>
    <row r="333" spans="1:19" x14ac:dyDescent="0.3">
      <c r="A333" s="2" t="s">
        <v>437</v>
      </c>
      <c r="B333" s="2" t="s">
        <v>22</v>
      </c>
      <c r="C333" s="2" t="s">
        <v>438</v>
      </c>
      <c r="D333" s="3">
        <v>0.27083333333333298</v>
      </c>
      <c r="E333" s="3">
        <v>0.35416666666666702</v>
      </c>
      <c r="F333" s="2" t="s">
        <v>51</v>
      </c>
      <c r="G333" s="2" t="s">
        <v>28</v>
      </c>
      <c r="H333" s="2">
        <v>4.4000000000000004</v>
      </c>
      <c r="I333" s="2" t="s">
        <v>439</v>
      </c>
      <c r="J333" s="2" t="s">
        <v>440</v>
      </c>
      <c r="K333" s="2"/>
      <c r="L333" s="2" t="str">
        <f>IFERROR(VLOOKUP(IFERROR(VLOOKUP(C333,'Destination Alias'!$A:$B,2,FALSE()),C333),'Best Months'!$A:$B,2,FALSE()),"Not listed")</f>
        <v>May–Sep</v>
      </c>
    </row>
    <row r="334" spans="1:19" x14ac:dyDescent="0.3">
      <c r="A334" s="2" t="s">
        <v>441</v>
      </c>
      <c r="B334" s="2" t="s">
        <v>241</v>
      </c>
      <c r="C334" s="2" t="s">
        <v>14</v>
      </c>
      <c r="D334" s="3">
        <v>0.66666666666666696</v>
      </c>
      <c r="E334" s="3">
        <v>0.75</v>
      </c>
      <c r="F334" s="2" t="s">
        <v>51</v>
      </c>
      <c r="G334" s="2" t="s">
        <v>73</v>
      </c>
      <c r="H334" s="2">
        <v>4.3</v>
      </c>
      <c r="I334" s="2" t="s">
        <v>442</v>
      </c>
      <c r="J334" s="2" t="s">
        <v>443</v>
      </c>
      <c r="K334" s="4" t="s">
        <v>444</v>
      </c>
      <c r="L334" s="2" t="str">
        <f>IFERROR(VLOOKUP(IFERROR(VLOOKUP(C334,'Destination Alias'!$A:$B,2,FALSE()),C334),'Best Months'!$A:$B,2,FALSE()),"Not listed")</f>
        <v>Dec–Mar</v>
      </c>
      <c r="S334" t="s">
        <v>444</v>
      </c>
    </row>
    <row r="335" spans="1:19" x14ac:dyDescent="0.3">
      <c r="A335" s="2" t="s">
        <v>445</v>
      </c>
      <c r="B335" s="2" t="s">
        <v>241</v>
      </c>
      <c r="C335" s="2" t="s">
        <v>14</v>
      </c>
      <c r="D335" s="3">
        <v>0.66666666666666696</v>
      </c>
      <c r="E335" s="3">
        <v>0.72916666666666696</v>
      </c>
      <c r="F335" s="2" t="s">
        <v>15</v>
      </c>
      <c r="G335" s="2" t="s">
        <v>73</v>
      </c>
      <c r="H335" s="2">
        <v>4.4000000000000004</v>
      </c>
      <c r="I335" s="2" t="s">
        <v>446</v>
      </c>
      <c r="J335" s="2" t="s">
        <v>447</v>
      </c>
      <c r="K335" s="2" t="s">
        <v>448</v>
      </c>
      <c r="L335" s="2" t="str">
        <f>IFERROR(VLOOKUP(IFERROR(VLOOKUP(C335,'Destination Alias'!$A:$B,2,FALSE()),C335),'Best Months'!$A:$B,2,FALSE()),"Not listed")</f>
        <v>Dec–Mar</v>
      </c>
    </row>
    <row r="336" spans="1:19" x14ac:dyDescent="0.3">
      <c r="A336" s="2" t="s">
        <v>445</v>
      </c>
      <c r="B336" s="2" t="s">
        <v>241</v>
      </c>
      <c r="C336" s="2" t="s">
        <v>14</v>
      </c>
      <c r="D336" s="3">
        <v>0.72916666666666696</v>
      </c>
      <c r="E336" s="3">
        <v>0.79166666666666696</v>
      </c>
      <c r="F336" s="2" t="s">
        <v>15</v>
      </c>
      <c r="G336" s="2" t="s">
        <v>52</v>
      </c>
      <c r="H336" s="2">
        <v>4.4000000000000004</v>
      </c>
      <c r="I336" s="2" t="s">
        <v>446</v>
      </c>
      <c r="J336" s="2" t="s">
        <v>447</v>
      </c>
      <c r="K336" s="2" t="s">
        <v>448</v>
      </c>
      <c r="L336" s="2" t="str">
        <f>IFERROR(VLOOKUP(IFERROR(VLOOKUP(C336,'Destination Alias'!$A:$B,2,FALSE()),C336),'Best Months'!$A:$B,2,FALSE()),"Not listed")</f>
        <v>Dec–Mar</v>
      </c>
    </row>
    <row r="337" spans="1:19" x14ac:dyDescent="0.3">
      <c r="A337" s="2" t="s">
        <v>449</v>
      </c>
      <c r="B337" s="2" t="s">
        <v>49</v>
      </c>
      <c r="C337" s="2" t="s">
        <v>14</v>
      </c>
      <c r="D337" s="3">
        <v>0.6875</v>
      </c>
      <c r="E337" s="3">
        <v>0.71875</v>
      </c>
      <c r="F337" s="2" t="s">
        <v>90</v>
      </c>
      <c r="G337" s="2" t="s">
        <v>73</v>
      </c>
      <c r="H337" s="2">
        <v>4.7</v>
      </c>
      <c r="I337" s="2" t="s">
        <v>450</v>
      </c>
      <c r="J337" s="2" t="s">
        <v>451</v>
      </c>
      <c r="K337" s="4" t="s">
        <v>452</v>
      </c>
      <c r="L337" s="2" t="str">
        <f>IFERROR(VLOOKUP(IFERROR(VLOOKUP(C337,'Destination Alias'!$A:$B,2,FALSE()),C337),'Best Months'!$A:$B,2,FALSE()),"Not listed")</f>
        <v>Dec–Mar</v>
      </c>
      <c r="S337" t="s">
        <v>452</v>
      </c>
    </row>
    <row r="338" spans="1:19" x14ac:dyDescent="0.3">
      <c r="A338" s="2" t="s">
        <v>449</v>
      </c>
      <c r="B338" s="2" t="s">
        <v>49</v>
      </c>
      <c r="C338" s="2" t="s">
        <v>14</v>
      </c>
      <c r="D338" s="3">
        <v>0.71875</v>
      </c>
      <c r="E338" s="3">
        <v>0.75</v>
      </c>
      <c r="F338" s="2" t="s">
        <v>90</v>
      </c>
      <c r="G338" s="2" t="s">
        <v>52</v>
      </c>
      <c r="H338" s="2">
        <v>4.7</v>
      </c>
      <c r="I338" s="2" t="s">
        <v>450</v>
      </c>
      <c r="J338" s="2" t="s">
        <v>451</v>
      </c>
      <c r="K338" s="4" t="s">
        <v>452</v>
      </c>
      <c r="L338" s="2" t="str">
        <f>IFERROR(VLOOKUP(IFERROR(VLOOKUP(C338,'Destination Alias'!$A:$B,2,FALSE()),C338),'Best Months'!$A:$B,2,FALSE()),"Not listed")</f>
        <v>Dec–Mar</v>
      </c>
      <c r="S338" t="s">
        <v>452</v>
      </c>
    </row>
    <row r="339" spans="1:19" x14ac:dyDescent="0.3">
      <c r="A339" s="2" t="s">
        <v>453</v>
      </c>
      <c r="B339" s="2" t="s">
        <v>13</v>
      </c>
      <c r="C339" s="2" t="s">
        <v>23</v>
      </c>
      <c r="D339" s="3">
        <v>0.27083333333333298</v>
      </c>
      <c r="E339" s="3">
        <v>0.35416666666666702</v>
      </c>
      <c r="F339" s="2" t="s">
        <v>51</v>
      </c>
      <c r="G339" s="2" t="s">
        <v>28</v>
      </c>
      <c r="H339" s="2">
        <v>4.3</v>
      </c>
      <c r="I339" s="2" t="s">
        <v>454</v>
      </c>
      <c r="J339" s="2" t="s">
        <v>455</v>
      </c>
      <c r="K339" s="2"/>
      <c r="L339" s="2" t="str">
        <f>IFERROR(VLOOKUP(IFERROR(VLOOKUP(C339,'Destination Alias'!$A:$B,2,FALSE()),C339),'Best Months'!$A:$B,2,FALSE()),"Not listed")</f>
        <v>Dec–Mar</v>
      </c>
    </row>
    <row r="340" spans="1:19" x14ac:dyDescent="0.3">
      <c r="A340" s="2" t="s">
        <v>456</v>
      </c>
      <c r="B340" s="2" t="s">
        <v>49</v>
      </c>
      <c r="C340" s="2" t="s">
        <v>50</v>
      </c>
      <c r="D340" s="3">
        <v>0.66666666666666696</v>
      </c>
      <c r="E340" s="3">
        <v>0.70833333333333304</v>
      </c>
      <c r="F340" s="2" t="s">
        <v>35</v>
      </c>
      <c r="G340" s="2" t="s">
        <v>73</v>
      </c>
      <c r="H340" s="2">
        <v>4.5</v>
      </c>
      <c r="I340" s="2" t="s">
        <v>457</v>
      </c>
      <c r="J340" s="2" t="s">
        <v>458</v>
      </c>
      <c r="K340" s="4" t="s">
        <v>459</v>
      </c>
      <c r="L340" s="2" t="str">
        <f>IFERROR(VLOOKUP(IFERROR(VLOOKUP(C340,'Destination Alias'!$A:$B,2,FALSE()),C340),'Best Months'!$A:$B,2,FALSE()),"Not listed")</f>
        <v>Dec–Mar</v>
      </c>
      <c r="S340" t="s">
        <v>459</v>
      </c>
    </row>
    <row r="341" spans="1:19" x14ac:dyDescent="0.3">
      <c r="A341" s="2" t="s">
        <v>456</v>
      </c>
      <c r="B341" s="2" t="s">
        <v>49</v>
      </c>
      <c r="C341" s="2" t="s">
        <v>50</v>
      </c>
      <c r="D341" s="3">
        <v>0.70833333333333304</v>
      </c>
      <c r="E341" s="3">
        <v>0.75</v>
      </c>
      <c r="F341" s="2" t="s">
        <v>35</v>
      </c>
      <c r="G341" s="2" t="s">
        <v>52</v>
      </c>
      <c r="H341" s="2">
        <v>4.5</v>
      </c>
      <c r="I341" s="2" t="s">
        <v>457</v>
      </c>
      <c r="J341" s="2" t="s">
        <v>458</v>
      </c>
      <c r="K341" s="4" t="s">
        <v>459</v>
      </c>
      <c r="L341" s="2" t="str">
        <f>IFERROR(VLOOKUP(IFERROR(VLOOKUP(C341,'Destination Alias'!$A:$B,2,FALSE()),C341),'Best Months'!$A:$B,2,FALSE()),"Not listed")</f>
        <v>Dec–Mar</v>
      </c>
      <c r="S341" t="s">
        <v>459</v>
      </c>
    </row>
    <row r="342" spans="1:19" x14ac:dyDescent="0.3">
      <c r="A342" s="2" t="s">
        <v>460</v>
      </c>
      <c r="B342" s="2" t="s">
        <v>13</v>
      </c>
      <c r="C342" s="2" t="s">
        <v>23</v>
      </c>
      <c r="D342" s="3">
        <v>0.3125</v>
      </c>
      <c r="E342" s="3">
        <v>0.375</v>
      </c>
      <c r="F342" s="2" t="s">
        <v>15</v>
      </c>
      <c r="G342" s="2" t="s">
        <v>38</v>
      </c>
      <c r="H342" s="2">
        <v>4</v>
      </c>
      <c r="I342" s="2" t="s">
        <v>461</v>
      </c>
      <c r="J342" s="2" t="s">
        <v>462</v>
      </c>
      <c r="K342" s="2"/>
      <c r="L342" s="2" t="str">
        <f>IFERROR(VLOOKUP(IFERROR(VLOOKUP(C342,'Destination Alias'!$A:$B,2,FALSE()),C342),'Best Months'!$A:$B,2,FALSE()),"Not listed")</f>
        <v>Dec–Mar</v>
      </c>
    </row>
    <row r="343" spans="1:19" x14ac:dyDescent="0.3">
      <c r="A343" s="2" t="s">
        <v>460</v>
      </c>
      <c r="B343" s="2" t="s">
        <v>13</v>
      </c>
      <c r="C343" s="2" t="s">
        <v>23</v>
      </c>
      <c r="D343" s="3">
        <v>0.375</v>
      </c>
      <c r="E343" s="3">
        <v>0.4375</v>
      </c>
      <c r="F343" s="2" t="s">
        <v>15</v>
      </c>
      <c r="G343" s="2" t="s">
        <v>20</v>
      </c>
      <c r="H343" s="2">
        <v>4</v>
      </c>
      <c r="I343" s="2" t="s">
        <v>461</v>
      </c>
      <c r="J343" s="2" t="s">
        <v>462</v>
      </c>
      <c r="K343" s="2"/>
      <c r="L343" s="2" t="str">
        <f>IFERROR(VLOOKUP(IFERROR(VLOOKUP(C343,'Destination Alias'!$A:$B,2,FALSE()),C343),'Best Months'!$A:$B,2,FALSE()),"Not listed")</f>
        <v>Dec–Mar</v>
      </c>
    </row>
    <row r="344" spans="1:19" x14ac:dyDescent="0.3">
      <c r="A344" s="2" t="s">
        <v>463</v>
      </c>
      <c r="B344" s="2" t="s">
        <v>22</v>
      </c>
      <c r="C344" s="2" t="s">
        <v>119</v>
      </c>
      <c r="D344" s="3">
        <v>0.27083333333333298</v>
      </c>
      <c r="E344" s="3">
        <v>0.3125</v>
      </c>
      <c r="F344" s="2" t="s">
        <v>35</v>
      </c>
      <c r="G344" s="2" t="s">
        <v>28</v>
      </c>
      <c r="H344" s="2">
        <v>4.5999999999999996</v>
      </c>
      <c r="I344" s="2" t="s">
        <v>464</v>
      </c>
      <c r="J344" s="2" t="s">
        <v>465</v>
      </c>
      <c r="K344" s="2"/>
      <c r="L344" s="2" t="str">
        <f>IFERROR(VLOOKUP(IFERROR(VLOOKUP(C344,'Destination Alias'!$A:$B,2,FALSE()),C344),'Best Months'!$A:$B,2,FALSE()),"Not listed")</f>
        <v>Jan–Mar</v>
      </c>
    </row>
    <row r="345" spans="1:19" x14ac:dyDescent="0.3">
      <c r="A345" s="2" t="s">
        <v>463</v>
      </c>
      <c r="B345" s="2" t="s">
        <v>22</v>
      </c>
      <c r="C345" s="2" t="s">
        <v>119</v>
      </c>
      <c r="D345" s="3">
        <v>0.3125</v>
      </c>
      <c r="E345" s="3">
        <v>0.35416666666666702</v>
      </c>
      <c r="F345" s="2" t="s">
        <v>35</v>
      </c>
      <c r="G345" s="2" t="s">
        <v>38</v>
      </c>
      <c r="H345" s="2">
        <v>4.5999999999999996</v>
      </c>
      <c r="I345" s="2" t="s">
        <v>464</v>
      </c>
      <c r="J345" s="2" t="s">
        <v>465</v>
      </c>
      <c r="K345" s="2"/>
      <c r="L345" s="2" t="str">
        <f>IFERROR(VLOOKUP(IFERROR(VLOOKUP(C345,'Destination Alias'!$A:$B,2,FALSE()),C345),'Best Months'!$A:$B,2,FALSE()),"Not listed")</f>
        <v>Jan–Mar</v>
      </c>
    </row>
    <row r="346" spans="1:19" x14ac:dyDescent="0.3">
      <c r="A346" s="2" t="s">
        <v>463</v>
      </c>
      <c r="B346" s="2" t="s">
        <v>22</v>
      </c>
      <c r="C346" s="2" t="s">
        <v>119</v>
      </c>
      <c r="D346" s="3">
        <v>0.35416666666666702</v>
      </c>
      <c r="E346" s="3">
        <v>0.39583333333333298</v>
      </c>
      <c r="F346" s="2" t="s">
        <v>35</v>
      </c>
      <c r="G346" s="2" t="s">
        <v>16</v>
      </c>
      <c r="H346" s="2">
        <v>4.5999999999999996</v>
      </c>
      <c r="I346" s="2" t="s">
        <v>464</v>
      </c>
      <c r="J346" s="2" t="s">
        <v>465</v>
      </c>
      <c r="K346" s="2"/>
      <c r="L346" s="2" t="str">
        <f>IFERROR(VLOOKUP(IFERROR(VLOOKUP(C346,'Destination Alias'!$A:$B,2,FALSE()),C346),'Best Months'!$A:$B,2,FALSE()),"Not listed")</f>
        <v>Jan–Mar</v>
      </c>
    </row>
    <row r="347" spans="1:19" ht="111" x14ac:dyDescent="0.3">
      <c r="A347" s="2" t="s">
        <v>466</v>
      </c>
      <c r="B347" s="2" t="s">
        <v>241</v>
      </c>
      <c r="C347" s="2" t="s">
        <v>163</v>
      </c>
      <c r="D347" s="3">
        <v>0.27083333333333298</v>
      </c>
      <c r="E347" s="3">
        <v>0.4375</v>
      </c>
      <c r="F347" s="2" t="s">
        <v>129</v>
      </c>
      <c r="G347" s="2" t="s">
        <v>28</v>
      </c>
      <c r="H347" s="2">
        <v>4</v>
      </c>
      <c r="I347" s="2" t="s">
        <v>467</v>
      </c>
      <c r="J347" s="5" t="s">
        <v>468</v>
      </c>
      <c r="K347" s="2"/>
      <c r="L347" s="2" t="str">
        <f>IFERROR(VLOOKUP(IFERROR(VLOOKUP(C347,'Destination Alias'!$A:$B,2,FALSE()),C347),'Best Months'!$A:$B,2,FALSE()),"Not listed")</f>
        <v>Dec–Mar</v>
      </c>
    </row>
    <row r="348" spans="1:19" ht="409.6" x14ac:dyDescent="0.3">
      <c r="A348" s="2" t="s">
        <v>466</v>
      </c>
      <c r="B348" s="2" t="s">
        <v>241</v>
      </c>
      <c r="C348" s="2" t="s">
        <v>163</v>
      </c>
      <c r="D348" s="3">
        <v>0.33333333333333298</v>
      </c>
      <c r="E348" s="3">
        <v>0.5</v>
      </c>
      <c r="F348" s="2" t="s">
        <v>129</v>
      </c>
      <c r="G348" s="2" t="s">
        <v>16</v>
      </c>
      <c r="H348" s="2">
        <v>3</v>
      </c>
      <c r="I348" s="2" t="s">
        <v>467</v>
      </c>
      <c r="J348" s="5" t="s">
        <v>468</v>
      </c>
      <c r="K348" s="2"/>
      <c r="L348" s="2" t="str">
        <f>IFERROR(VLOOKUP(IFERROR(VLOOKUP(C348,'Destination Alias'!$A:$B,2,FALSE()),C348),'Best Months'!$A:$B,2,FALSE()),"Not listed")</f>
        <v>Dec–Mar</v>
      </c>
    </row>
    <row r="349" spans="1:19" ht="111" x14ac:dyDescent="0.3">
      <c r="A349" s="2" t="s">
        <v>466</v>
      </c>
      <c r="B349" s="2" t="s">
        <v>241</v>
      </c>
      <c r="C349" s="2" t="s">
        <v>163</v>
      </c>
      <c r="D349" s="3">
        <v>0.625</v>
      </c>
      <c r="E349" s="3">
        <v>0.79166666666666696</v>
      </c>
      <c r="F349" s="2" t="s">
        <v>129</v>
      </c>
      <c r="G349" s="2" t="s">
        <v>73</v>
      </c>
      <c r="H349" s="2">
        <v>4</v>
      </c>
      <c r="I349" s="2" t="s">
        <v>467</v>
      </c>
      <c r="J349" s="5" t="s">
        <v>468</v>
      </c>
      <c r="K349" s="2"/>
      <c r="L349" s="2" t="str">
        <f>IFERROR(VLOOKUP(IFERROR(VLOOKUP(C349,'Destination Alias'!$A:$B,2,FALSE()),C349),'Best Months'!$A:$B,2,FALSE()),"Not listed")</f>
        <v>Dec–Mar</v>
      </c>
    </row>
    <row r="350" spans="1:19" ht="409.6" x14ac:dyDescent="0.3">
      <c r="A350" s="2" t="s">
        <v>466</v>
      </c>
      <c r="B350" s="2" t="s">
        <v>241</v>
      </c>
      <c r="C350" s="2" t="s">
        <v>163</v>
      </c>
      <c r="D350" s="3">
        <v>0.625</v>
      </c>
      <c r="E350" s="3">
        <v>0.79166666666666696</v>
      </c>
      <c r="F350" s="2" t="s">
        <v>129</v>
      </c>
      <c r="G350" s="2" t="s">
        <v>73</v>
      </c>
      <c r="H350" s="2">
        <v>5</v>
      </c>
      <c r="I350" s="2" t="s">
        <v>467</v>
      </c>
      <c r="J350" s="5" t="s">
        <v>468</v>
      </c>
      <c r="K350" s="2"/>
      <c r="L350" s="2" t="str">
        <f>IFERROR(VLOOKUP(IFERROR(VLOOKUP(C350,'Destination Alias'!$A:$B,2,FALSE()),C350),'Best Months'!$A:$B,2,FALSE()),"Not listed")</f>
        <v>Dec–Mar</v>
      </c>
    </row>
    <row r="351" spans="1:19" ht="111" x14ac:dyDescent="0.3">
      <c r="A351" s="2" t="s">
        <v>466</v>
      </c>
      <c r="B351" s="2" t="s">
        <v>241</v>
      </c>
      <c r="C351" s="2" t="s">
        <v>163</v>
      </c>
      <c r="D351" s="3">
        <v>0.72916666666666696</v>
      </c>
      <c r="E351" s="3">
        <v>0.89583333333333304</v>
      </c>
      <c r="F351" s="2" t="s">
        <v>129</v>
      </c>
      <c r="G351" s="2" t="s">
        <v>52</v>
      </c>
      <c r="H351" s="2">
        <v>5</v>
      </c>
      <c r="I351" s="2" t="s">
        <v>467</v>
      </c>
      <c r="J351" s="5" t="s">
        <v>468</v>
      </c>
      <c r="K351" s="2"/>
      <c r="L351" s="2" t="str">
        <f>IFERROR(VLOOKUP(IFERROR(VLOOKUP(C351,'Destination Alias'!$A:$B,2,FALSE()),C351),'Best Months'!$A:$B,2,FALSE()),"Not listed")</f>
        <v>Dec–Mar</v>
      </c>
    </row>
    <row r="352" spans="1:19" ht="409.6" x14ac:dyDescent="0.3">
      <c r="A352" s="2" t="s">
        <v>466</v>
      </c>
      <c r="B352" s="2" t="s">
        <v>241</v>
      </c>
      <c r="C352" s="2" t="s">
        <v>163</v>
      </c>
      <c r="D352" s="3">
        <v>0.75</v>
      </c>
      <c r="E352" s="3">
        <v>0.91666666666666696</v>
      </c>
      <c r="F352" s="2" t="s">
        <v>129</v>
      </c>
      <c r="G352" s="2" t="s">
        <v>102</v>
      </c>
      <c r="H352" s="2">
        <v>3</v>
      </c>
      <c r="I352" s="2" t="s">
        <v>467</v>
      </c>
      <c r="J352" s="5" t="s">
        <v>468</v>
      </c>
      <c r="K352" s="2"/>
      <c r="L352" s="2" t="str">
        <f>IFERROR(VLOOKUP(IFERROR(VLOOKUP(C352,'Destination Alias'!$A:$B,2,FALSE()),C352),'Best Months'!$A:$B,2,FALSE()),"Not listed")</f>
        <v>Dec–Mar</v>
      </c>
    </row>
    <row r="353" spans="1:19" ht="409.6" x14ac:dyDescent="0.3">
      <c r="A353" s="2" t="s">
        <v>466</v>
      </c>
      <c r="B353" s="2" t="s">
        <v>241</v>
      </c>
      <c r="C353" s="2" t="s">
        <v>163</v>
      </c>
      <c r="D353" s="3">
        <v>0.29166666666666702</v>
      </c>
      <c r="E353" s="3">
        <v>0.45833333333333298</v>
      </c>
      <c r="F353" s="2" t="s">
        <v>129</v>
      </c>
      <c r="G353" s="2" t="s">
        <v>38</v>
      </c>
      <c r="H353" s="2">
        <v>3.9</v>
      </c>
      <c r="I353" s="2" t="s">
        <v>467</v>
      </c>
      <c r="J353" s="5" t="s">
        <v>468</v>
      </c>
      <c r="K353" s="2"/>
      <c r="L353" s="2" t="str">
        <f>IFERROR(VLOOKUP(IFERROR(VLOOKUP(C353,'Destination Alias'!$A:$B,2,FALSE()),C353),'Best Months'!$A:$B,2,FALSE()),"Not listed")</f>
        <v>Dec–Mar</v>
      </c>
    </row>
    <row r="354" spans="1:19" x14ac:dyDescent="0.3">
      <c r="A354" s="2" t="s">
        <v>469</v>
      </c>
      <c r="B354" s="2" t="s">
        <v>241</v>
      </c>
      <c r="C354" s="2" t="s">
        <v>65</v>
      </c>
      <c r="D354" s="3">
        <v>0.27083333333333298</v>
      </c>
      <c r="E354" s="3">
        <v>0.4375</v>
      </c>
      <c r="F354" s="2" t="s">
        <v>129</v>
      </c>
      <c r="G354" s="2" t="s">
        <v>28</v>
      </c>
      <c r="H354" s="2">
        <v>3.9</v>
      </c>
      <c r="I354" s="2" t="s">
        <v>470</v>
      </c>
      <c r="J354" s="2" t="s">
        <v>471</v>
      </c>
      <c r="K354" s="4" t="s">
        <v>472</v>
      </c>
      <c r="L354" s="2" t="str">
        <f>IFERROR(VLOOKUP(IFERROR(VLOOKUP(C354,'Destination Alias'!$A:$B,2,FALSE()),C354),'Best Months'!$A:$B,2,FALSE()),"Not listed")</f>
        <v>Dec–Mar</v>
      </c>
      <c r="S354" t="s">
        <v>472</v>
      </c>
    </row>
    <row r="355" spans="1:19" x14ac:dyDescent="0.3">
      <c r="A355" s="2" t="s">
        <v>473</v>
      </c>
      <c r="B355" s="2" t="s">
        <v>22</v>
      </c>
      <c r="C355" s="2" t="s">
        <v>163</v>
      </c>
      <c r="D355" s="3">
        <v>0.39583333333333298</v>
      </c>
      <c r="E355" s="3">
        <v>0.4375</v>
      </c>
      <c r="F355" s="2" t="s">
        <v>35</v>
      </c>
      <c r="G355" s="2" t="s">
        <v>20</v>
      </c>
      <c r="H355" s="2">
        <v>4.5999999999999996</v>
      </c>
      <c r="I355" s="2" t="s">
        <v>474</v>
      </c>
      <c r="J355" s="2" t="s">
        <v>475</v>
      </c>
      <c r="K355" s="4" t="s">
        <v>476</v>
      </c>
      <c r="L355" s="2" t="str">
        <f>IFERROR(VLOOKUP(IFERROR(VLOOKUP(C355,'Destination Alias'!$A:$B,2,FALSE()),C355),'Best Months'!$A:$B,2,FALSE()),"Not listed")</f>
        <v>Dec–Mar</v>
      </c>
      <c r="S355" t="s">
        <v>476</v>
      </c>
    </row>
    <row r="356" spans="1:19" x14ac:dyDescent="0.3">
      <c r="A356" s="2" t="s">
        <v>473</v>
      </c>
      <c r="B356" s="2" t="s">
        <v>22</v>
      </c>
      <c r="C356" s="2" t="s">
        <v>163</v>
      </c>
      <c r="D356" s="3">
        <v>0.4375</v>
      </c>
      <c r="E356" s="3">
        <v>0.47916666666666702</v>
      </c>
      <c r="F356" s="2" t="s">
        <v>35</v>
      </c>
      <c r="G356" s="2" t="s">
        <v>20</v>
      </c>
      <c r="H356" s="2">
        <v>4.5999999999999996</v>
      </c>
      <c r="I356" s="2" t="s">
        <v>474</v>
      </c>
      <c r="J356" s="2" t="s">
        <v>475</v>
      </c>
      <c r="K356" s="4" t="s">
        <v>476</v>
      </c>
      <c r="L356" s="2" t="str">
        <f>IFERROR(VLOOKUP(IFERROR(VLOOKUP(C356,'Destination Alias'!$A:$B,2,FALSE()),C356),'Best Months'!$A:$B,2,FALSE()),"Not listed")</f>
        <v>Dec–Mar</v>
      </c>
      <c r="S356" t="s">
        <v>476</v>
      </c>
    </row>
    <row r="357" spans="1:19" x14ac:dyDescent="0.3">
      <c r="A357" s="2" t="s">
        <v>473</v>
      </c>
      <c r="B357" s="2" t="s">
        <v>22</v>
      </c>
      <c r="C357" s="2" t="s">
        <v>163</v>
      </c>
      <c r="D357" s="3">
        <v>0.47916666666666702</v>
      </c>
      <c r="E357" s="3">
        <v>0.52083333333333304</v>
      </c>
      <c r="F357" s="2" t="s">
        <v>35</v>
      </c>
      <c r="G357" s="2" t="s">
        <v>220</v>
      </c>
      <c r="H357" s="2">
        <v>4.5999999999999996</v>
      </c>
      <c r="I357" s="2" t="s">
        <v>474</v>
      </c>
      <c r="J357" s="2" t="s">
        <v>475</v>
      </c>
      <c r="K357" s="4" t="s">
        <v>476</v>
      </c>
      <c r="L357" s="2" t="str">
        <f>IFERROR(VLOOKUP(IFERROR(VLOOKUP(C357,'Destination Alias'!$A:$B,2,FALSE()),C357),'Best Months'!$A:$B,2,FALSE()),"Not listed")</f>
        <v>Dec–Mar</v>
      </c>
      <c r="S357" t="s">
        <v>476</v>
      </c>
    </row>
    <row r="358" spans="1:19" x14ac:dyDescent="0.3">
      <c r="A358" s="2" t="s">
        <v>477</v>
      </c>
      <c r="B358" s="2" t="s">
        <v>81</v>
      </c>
      <c r="C358" s="2" t="s">
        <v>23</v>
      </c>
      <c r="D358" s="3">
        <v>0.27083333333333298</v>
      </c>
      <c r="E358" s="3">
        <v>0.33333333333333298</v>
      </c>
      <c r="F358" s="2" t="s">
        <v>15</v>
      </c>
      <c r="G358" s="2" t="s">
        <v>28</v>
      </c>
      <c r="H358" s="2">
        <v>4.4000000000000004</v>
      </c>
      <c r="I358" s="2" t="s">
        <v>478</v>
      </c>
      <c r="J358" s="2" t="s">
        <v>479</v>
      </c>
      <c r="K358" s="4" t="s">
        <v>480</v>
      </c>
      <c r="L358" s="2" t="str">
        <f>IFERROR(VLOOKUP(IFERROR(VLOOKUP(C358,'Destination Alias'!$A:$B,2,FALSE()),C358),'Best Months'!$A:$B,2,FALSE()),"Not listed")</f>
        <v>Dec–Mar</v>
      </c>
      <c r="S358" t="s">
        <v>480</v>
      </c>
    </row>
    <row r="359" spans="1:19" x14ac:dyDescent="0.3">
      <c r="A359" s="2" t="s">
        <v>477</v>
      </c>
      <c r="B359" s="2" t="s">
        <v>81</v>
      </c>
      <c r="C359" s="2" t="s">
        <v>23</v>
      </c>
      <c r="D359" s="3">
        <v>0.33333333333333298</v>
      </c>
      <c r="E359" s="3">
        <v>0.39583333333333298</v>
      </c>
      <c r="F359" s="2" t="s">
        <v>15</v>
      </c>
      <c r="G359" s="2" t="s">
        <v>16</v>
      </c>
      <c r="H359" s="2">
        <v>4.4000000000000004</v>
      </c>
      <c r="I359" s="2" t="s">
        <v>478</v>
      </c>
      <c r="J359" s="2" t="s">
        <v>479</v>
      </c>
      <c r="K359" s="4" t="s">
        <v>480</v>
      </c>
      <c r="L359" s="2" t="str">
        <f>IFERROR(VLOOKUP(IFERROR(VLOOKUP(C359,'Destination Alias'!$A:$B,2,FALSE()),C359),'Best Months'!$A:$B,2,FALSE()),"Not listed")</f>
        <v>Dec–Mar</v>
      </c>
      <c r="S359" t="s">
        <v>480</v>
      </c>
    </row>
    <row r="360" spans="1:19" x14ac:dyDescent="0.3">
      <c r="A360" s="2" t="s">
        <v>481</v>
      </c>
      <c r="B360" s="2" t="s">
        <v>13</v>
      </c>
      <c r="C360" s="2" t="s">
        <v>297</v>
      </c>
      <c r="D360" s="3">
        <v>0.22916666666666699</v>
      </c>
      <c r="E360" s="3">
        <v>0.39583333333333298</v>
      </c>
      <c r="F360" s="2" t="s">
        <v>129</v>
      </c>
      <c r="G360" s="2" t="s">
        <v>28</v>
      </c>
      <c r="H360" s="2">
        <v>5</v>
      </c>
      <c r="I360" s="2" t="s">
        <v>482</v>
      </c>
      <c r="J360" s="2" t="s">
        <v>483</v>
      </c>
      <c r="K360" s="2"/>
      <c r="L360" s="2" t="str">
        <f>IFERROR(VLOOKUP(IFERROR(VLOOKUP(C360,'Destination Alias'!$A:$B,2,FALSE()),C360),'Best Months'!$A:$B,2,FALSE()),"Not listed")</f>
        <v>Jan–Mar, Jul–Aug</v>
      </c>
    </row>
    <row r="361" spans="1:19" x14ac:dyDescent="0.3">
      <c r="A361" s="2" t="s">
        <v>481</v>
      </c>
      <c r="B361" s="2" t="s">
        <v>13</v>
      </c>
      <c r="C361" s="2" t="s">
        <v>297</v>
      </c>
      <c r="D361" s="3">
        <v>0.25</v>
      </c>
      <c r="E361" s="3">
        <v>0.41666666666666702</v>
      </c>
      <c r="F361" s="2" t="s">
        <v>129</v>
      </c>
      <c r="G361" s="2" t="s">
        <v>28</v>
      </c>
      <c r="H361" s="2">
        <v>5</v>
      </c>
      <c r="I361" s="2" t="s">
        <v>482</v>
      </c>
      <c r="J361" s="2" t="s">
        <v>483</v>
      </c>
      <c r="K361" s="2"/>
      <c r="L361" s="2" t="str">
        <f>IFERROR(VLOOKUP(IFERROR(VLOOKUP(C361,'Destination Alias'!$A:$B,2,FALSE()),C361),'Best Months'!$A:$B,2,FALSE()),"Not listed")</f>
        <v>Jan–Mar, Jul–Aug</v>
      </c>
    </row>
    <row r="362" spans="1:19" x14ac:dyDescent="0.3">
      <c r="A362" s="2" t="s">
        <v>481</v>
      </c>
      <c r="B362" s="2" t="s">
        <v>13</v>
      </c>
      <c r="C362" s="2" t="s">
        <v>297</v>
      </c>
      <c r="D362" s="3">
        <v>0.27083333333333298</v>
      </c>
      <c r="E362" s="3">
        <v>0.4375</v>
      </c>
      <c r="F362" s="2" t="s">
        <v>129</v>
      </c>
      <c r="G362" s="2" t="s">
        <v>28</v>
      </c>
      <c r="H362" s="2">
        <v>4</v>
      </c>
      <c r="I362" s="2" t="s">
        <v>482</v>
      </c>
      <c r="J362" s="2" t="s">
        <v>483</v>
      </c>
      <c r="K362" s="2"/>
      <c r="L362" s="2" t="str">
        <f>IFERROR(VLOOKUP(IFERROR(VLOOKUP(C362,'Destination Alias'!$A:$B,2,FALSE()),C362),'Best Months'!$A:$B,2,FALSE()),"Not listed")</f>
        <v>Jan–Mar, Jul–Aug</v>
      </c>
    </row>
    <row r="363" spans="1:19" x14ac:dyDescent="0.3">
      <c r="A363" s="2" t="s">
        <v>481</v>
      </c>
      <c r="B363" s="2" t="s">
        <v>13</v>
      </c>
      <c r="C363" s="2" t="s">
        <v>297</v>
      </c>
      <c r="D363" s="3">
        <v>0.29166666666666702</v>
      </c>
      <c r="E363" s="3">
        <v>0.45833333333333298</v>
      </c>
      <c r="F363" s="2" t="s">
        <v>129</v>
      </c>
      <c r="G363" s="2" t="s">
        <v>38</v>
      </c>
      <c r="H363" s="2">
        <v>5</v>
      </c>
      <c r="I363" s="2" t="s">
        <v>482</v>
      </c>
      <c r="J363" s="2" t="s">
        <v>483</v>
      </c>
      <c r="K363" s="2"/>
      <c r="L363" s="2" t="str">
        <f>IFERROR(VLOOKUP(IFERROR(VLOOKUP(C363,'Destination Alias'!$A:$B,2,FALSE()),C363),'Best Months'!$A:$B,2,FALSE()),"Not listed")</f>
        <v>Jan–Mar, Jul–Aug</v>
      </c>
    </row>
    <row r="364" spans="1:19" x14ac:dyDescent="0.3">
      <c r="A364" s="2" t="s">
        <v>481</v>
      </c>
      <c r="B364" s="2" t="s">
        <v>13</v>
      </c>
      <c r="C364" s="2" t="s">
        <v>297</v>
      </c>
      <c r="D364" s="3">
        <v>0.3125</v>
      </c>
      <c r="E364" s="3">
        <v>0.47916666666666702</v>
      </c>
      <c r="F364" s="2" t="s">
        <v>129</v>
      </c>
      <c r="G364" s="2" t="s">
        <v>38</v>
      </c>
      <c r="H364" s="2">
        <v>4</v>
      </c>
      <c r="I364" s="2" t="s">
        <v>482</v>
      </c>
      <c r="J364" s="2" t="s">
        <v>483</v>
      </c>
      <c r="K364" s="2"/>
      <c r="L364" s="2" t="str">
        <f>IFERROR(VLOOKUP(IFERROR(VLOOKUP(C364,'Destination Alias'!$A:$B,2,FALSE()),C364),'Best Months'!$A:$B,2,FALSE()),"Not listed")</f>
        <v>Jan–Mar, Jul–Aug</v>
      </c>
    </row>
    <row r="365" spans="1:19" x14ac:dyDescent="0.3">
      <c r="A365" s="2" t="s">
        <v>481</v>
      </c>
      <c r="B365" s="2" t="s">
        <v>13</v>
      </c>
      <c r="C365" s="2" t="s">
        <v>297</v>
      </c>
      <c r="D365" s="3">
        <v>0.33333333333333298</v>
      </c>
      <c r="E365" s="3">
        <v>0.5</v>
      </c>
      <c r="F365" s="2" t="s">
        <v>129</v>
      </c>
      <c r="G365" s="2" t="s">
        <v>16</v>
      </c>
      <c r="H365" s="2">
        <v>4</v>
      </c>
      <c r="I365" s="2" t="s">
        <v>482</v>
      </c>
      <c r="J365" s="2" t="s">
        <v>483</v>
      </c>
      <c r="K365" s="2"/>
      <c r="L365" s="2" t="str">
        <f>IFERROR(VLOOKUP(IFERROR(VLOOKUP(C365,'Destination Alias'!$A:$B,2,FALSE()),C365),'Best Months'!$A:$B,2,FALSE()),"Not listed")</f>
        <v>Jan–Mar, Jul–Aug</v>
      </c>
    </row>
    <row r="366" spans="1:19" x14ac:dyDescent="0.3">
      <c r="A366" s="2" t="s">
        <v>481</v>
      </c>
      <c r="B366" s="2" t="s">
        <v>13</v>
      </c>
      <c r="C366" s="2" t="s">
        <v>297</v>
      </c>
      <c r="D366" s="3">
        <v>0.35416666666666702</v>
      </c>
      <c r="E366" s="3">
        <v>0.52083333333333304</v>
      </c>
      <c r="F366" s="2" t="s">
        <v>129</v>
      </c>
      <c r="G366" s="2" t="s">
        <v>16</v>
      </c>
      <c r="H366" s="2">
        <v>3</v>
      </c>
      <c r="I366" s="2" t="s">
        <v>482</v>
      </c>
      <c r="J366" s="2" t="s">
        <v>483</v>
      </c>
      <c r="K366" s="2"/>
      <c r="L366" s="2" t="str">
        <f>IFERROR(VLOOKUP(IFERROR(VLOOKUP(C366,'Destination Alias'!$A:$B,2,FALSE()),C366),'Best Months'!$A:$B,2,FALSE()),"Not listed")</f>
        <v>Jan–Mar, Jul–Aug</v>
      </c>
    </row>
    <row r="367" spans="1:19" x14ac:dyDescent="0.3">
      <c r="A367" s="2" t="s">
        <v>481</v>
      </c>
      <c r="B367" s="2" t="s">
        <v>13</v>
      </c>
      <c r="C367" s="2" t="s">
        <v>297</v>
      </c>
      <c r="D367" s="3">
        <v>0.375</v>
      </c>
      <c r="E367" s="3">
        <v>0.54166666666666696</v>
      </c>
      <c r="F367" s="2" t="s">
        <v>129</v>
      </c>
      <c r="G367" s="2" t="s">
        <v>20</v>
      </c>
      <c r="H367" s="2">
        <v>4</v>
      </c>
      <c r="I367" s="2" t="s">
        <v>482</v>
      </c>
      <c r="J367" s="2" t="s">
        <v>483</v>
      </c>
      <c r="K367" s="2"/>
      <c r="L367" s="2" t="str">
        <f>IFERROR(VLOOKUP(IFERROR(VLOOKUP(C367,'Destination Alias'!$A:$B,2,FALSE()),C367),'Best Months'!$A:$B,2,FALSE()),"Not listed")</f>
        <v>Jan–Mar, Jul–Aug</v>
      </c>
    </row>
    <row r="368" spans="1:19" x14ac:dyDescent="0.3">
      <c r="A368" s="2" t="s">
        <v>481</v>
      </c>
      <c r="B368" s="2" t="s">
        <v>13</v>
      </c>
      <c r="C368" s="2" t="s">
        <v>297</v>
      </c>
      <c r="D368" s="3">
        <v>0.41666666666666702</v>
      </c>
      <c r="E368" s="3">
        <v>0.58333333333333304</v>
      </c>
      <c r="F368" s="2" t="s">
        <v>129</v>
      </c>
      <c r="G368" s="2" t="s">
        <v>20</v>
      </c>
      <c r="H368" s="2">
        <v>5</v>
      </c>
      <c r="I368" s="2" t="s">
        <v>482</v>
      </c>
      <c r="J368" s="2" t="s">
        <v>483</v>
      </c>
      <c r="K368" s="2"/>
      <c r="L368" s="2" t="str">
        <f>IFERROR(VLOOKUP(IFERROR(VLOOKUP(C368,'Destination Alias'!$A:$B,2,FALSE()),C368),'Best Months'!$A:$B,2,FALSE()),"Not listed")</f>
        <v>Jan–Mar, Jul–Aug</v>
      </c>
    </row>
    <row r="369" spans="1:19" x14ac:dyDescent="0.3">
      <c r="A369" s="2" t="s">
        <v>481</v>
      </c>
      <c r="B369" s="2" t="s">
        <v>13</v>
      </c>
      <c r="C369" s="2" t="s">
        <v>297</v>
      </c>
      <c r="D369" s="3">
        <v>0.625</v>
      </c>
      <c r="E369" s="3">
        <v>0.79166666666666696</v>
      </c>
      <c r="F369" s="2" t="s">
        <v>129</v>
      </c>
      <c r="G369" s="2" t="s">
        <v>73</v>
      </c>
      <c r="H369" s="2">
        <v>4</v>
      </c>
      <c r="I369" s="2" t="s">
        <v>482</v>
      </c>
      <c r="J369" s="2" t="s">
        <v>483</v>
      </c>
      <c r="K369" s="2"/>
      <c r="L369" s="2" t="str">
        <f>IFERROR(VLOOKUP(IFERROR(VLOOKUP(C369,'Destination Alias'!$A:$B,2,FALSE()),C369),'Best Months'!$A:$B,2,FALSE()),"Not listed")</f>
        <v>Jan–Mar, Jul–Aug</v>
      </c>
    </row>
    <row r="370" spans="1:19" x14ac:dyDescent="0.3">
      <c r="A370" s="2" t="s">
        <v>481</v>
      </c>
      <c r="B370" s="2" t="s">
        <v>13</v>
      </c>
      <c r="C370" s="2" t="s">
        <v>297</v>
      </c>
      <c r="D370" s="3">
        <v>0.66666666666666696</v>
      </c>
      <c r="E370" s="3">
        <v>0.83333333333333304</v>
      </c>
      <c r="F370" s="2" t="s">
        <v>129</v>
      </c>
      <c r="G370" s="2" t="s">
        <v>73</v>
      </c>
      <c r="H370" s="2">
        <v>1</v>
      </c>
      <c r="I370" s="2" t="s">
        <v>482</v>
      </c>
      <c r="J370" s="2" t="s">
        <v>483</v>
      </c>
      <c r="K370" s="2"/>
      <c r="L370" s="2" t="str">
        <f>IFERROR(VLOOKUP(IFERROR(VLOOKUP(C370,'Destination Alias'!$A:$B,2,FALSE()),C370),'Best Months'!$A:$B,2,FALSE()),"Not listed")</f>
        <v>Jan–Mar, Jul–Aug</v>
      </c>
    </row>
    <row r="371" spans="1:19" x14ac:dyDescent="0.3">
      <c r="A371" s="2" t="s">
        <v>481</v>
      </c>
      <c r="B371" s="2" t="s">
        <v>13</v>
      </c>
      <c r="C371" s="2" t="s">
        <v>297</v>
      </c>
      <c r="D371" s="3">
        <v>0.25</v>
      </c>
      <c r="E371" s="3">
        <v>0.41666666666666702</v>
      </c>
      <c r="F371" s="2" t="s">
        <v>129</v>
      </c>
      <c r="G371" s="2" t="s">
        <v>28</v>
      </c>
      <c r="H371" s="2">
        <v>4.4000000000000004</v>
      </c>
      <c r="I371" s="2" t="s">
        <v>482</v>
      </c>
      <c r="J371" s="2" t="s">
        <v>483</v>
      </c>
      <c r="K371" s="2"/>
      <c r="L371" s="2" t="str">
        <f>IFERROR(VLOOKUP(IFERROR(VLOOKUP(C371,'Destination Alias'!$A:$B,2,FALSE()),C371),'Best Months'!$A:$B,2,FALSE()),"Not listed")</f>
        <v>Jan–Mar, Jul–Aug</v>
      </c>
    </row>
    <row r="372" spans="1:19" x14ac:dyDescent="0.3">
      <c r="A372" s="2" t="s">
        <v>484</v>
      </c>
      <c r="B372" s="2" t="s">
        <v>81</v>
      </c>
      <c r="C372" s="2" t="s">
        <v>213</v>
      </c>
      <c r="D372" s="3">
        <v>0.20833333333333301</v>
      </c>
      <c r="E372" s="3">
        <v>0.375</v>
      </c>
      <c r="F372" s="2" t="s">
        <v>129</v>
      </c>
      <c r="G372" s="2" t="s">
        <v>28</v>
      </c>
      <c r="H372" s="2">
        <v>4</v>
      </c>
      <c r="I372" s="2" t="s">
        <v>482</v>
      </c>
      <c r="J372" s="2" t="s">
        <v>485</v>
      </c>
      <c r="K372" s="4" t="s">
        <v>486</v>
      </c>
      <c r="L372" s="2" t="str">
        <f>IFERROR(VLOOKUP(IFERROR(VLOOKUP(C372,'Destination Alias'!$A:$B,2,FALSE()),C372),'Best Months'!$A:$B,2,FALSE()),"Not listed")</f>
        <v>Jan–Mar</v>
      </c>
      <c r="S372" t="s">
        <v>486</v>
      </c>
    </row>
    <row r="373" spans="1:19" x14ac:dyDescent="0.3">
      <c r="A373" s="2" t="s">
        <v>484</v>
      </c>
      <c r="B373" s="2" t="s">
        <v>81</v>
      </c>
      <c r="C373" s="2" t="s">
        <v>213</v>
      </c>
      <c r="D373" s="3">
        <v>0.22916666666666699</v>
      </c>
      <c r="E373" s="3">
        <v>0.39583333333333298</v>
      </c>
      <c r="F373" s="2" t="s">
        <v>129</v>
      </c>
      <c r="G373" s="2" t="s">
        <v>28</v>
      </c>
      <c r="H373" s="2">
        <v>5</v>
      </c>
      <c r="I373" s="2" t="s">
        <v>482</v>
      </c>
      <c r="J373" s="2" t="s">
        <v>485</v>
      </c>
      <c r="K373" s="4" t="s">
        <v>486</v>
      </c>
      <c r="L373" s="2" t="str">
        <f>IFERROR(VLOOKUP(IFERROR(VLOOKUP(C373,'Destination Alias'!$A:$B,2,FALSE()),C373),'Best Months'!$A:$B,2,FALSE()),"Not listed")</f>
        <v>Jan–Mar</v>
      </c>
      <c r="S373" t="s">
        <v>486</v>
      </c>
    </row>
    <row r="374" spans="1:19" x14ac:dyDescent="0.3">
      <c r="A374" s="2" t="s">
        <v>484</v>
      </c>
      <c r="B374" s="2" t="s">
        <v>81</v>
      </c>
      <c r="C374" s="2" t="s">
        <v>213</v>
      </c>
      <c r="D374" s="3">
        <v>0.25</v>
      </c>
      <c r="E374" s="3">
        <v>0.41666666666666702</v>
      </c>
      <c r="F374" s="2" t="s">
        <v>129</v>
      </c>
      <c r="G374" s="2" t="s">
        <v>28</v>
      </c>
      <c r="H374" s="2">
        <v>4</v>
      </c>
      <c r="I374" s="2" t="s">
        <v>482</v>
      </c>
      <c r="J374" s="2" t="s">
        <v>485</v>
      </c>
      <c r="K374" s="4" t="s">
        <v>486</v>
      </c>
      <c r="L374" s="2" t="str">
        <f>IFERROR(VLOOKUP(IFERROR(VLOOKUP(C374,'Destination Alias'!$A:$B,2,FALSE()),C374),'Best Months'!$A:$B,2,FALSE()),"Not listed")</f>
        <v>Jan–Mar</v>
      </c>
      <c r="S374" t="s">
        <v>486</v>
      </c>
    </row>
    <row r="375" spans="1:19" x14ac:dyDescent="0.3">
      <c r="A375" s="2" t="s">
        <v>484</v>
      </c>
      <c r="B375" s="2" t="s">
        <v>81</v>
      </c>
      <c r="C375" s="2" t="s">
        <v>213</v>
      </c>
      <c r="D375" s="3">
        <v>0.27083333333333298</v>
      </c>
      <c r="E375" s="3">
        <v>0.4375</v>
      </c>
      <c r="F375" s="2" t="s">
        <v>129</v>
      </c>
      <c r="G375" s="2" t="s">
        <v>28</v>
      </c>
      <c r="H375" s="2">
        <v>5</v>
      </c>
      <c r="I375" s="2" t="s">
        <v>482</v>
      </c>
      <c r="J375" s="2" t="s">
        <v>485</v>
      </c>
      <c r="K375" s="4" t="s">
        <v>486</v>
      </c>
      <c r="L375" s="2" t="str">
        <f>IFERROR(VLOOKUP(IFERROR(VLOOKUP(C375,'Destination Alias'!$A:$B,2,FALSE()),C375),'Best Months'!$A:$B,2,FALSE()),"Not listed")</f>
        <v>Jan–Mar</v>
      </c>
      <c r="S375" t="s">
        <v>486</v>
      </c>
    </row>
    <row r="376" spans="1:19" x14ac:dyDescent="0.3">
      <c r="A376" s="2" t="s">
        <v>484</v>
      </c>
      <c r="B376" s="2" t="s">
        <v>81</v>
      </c>
      <c r="C376" s="2" t="s">
        <v>213</v>
      </c>
      <c r="D376" s="3">
        <v>0.29166666666666702</v>
      </c>
      <c r="E376" s="3">
        <v>0.45833333333333298</v>
      </c>
      <c r="F376" s="2" t="s">
        <v>129</v>
      </c>
      <c r="G376" s="2" t="s">
        <v>38</v>
      </c>
      <c r="H376" s="2">
        <v>5</v>
      </c>
      <c r="I376" s="2" t="s">
        <v>482</v>
      </c>
      <c r="J376" s="2" t="s">
        <v>485</v>
      </c>
      <c r="K376" s="4" t="s">
        <v>486</v>
      </c>
      <c r="L376" s="2" t="str">
        <f>IFERROR(VLOOKUP(IFERROR(VLOOKUP(C376,'Destination Alias'!$A:$B,2,FALSE()),C376),'Best Months'!$A:$B,2,FALSE()),"Not listed")</f>
        <v>Jan–Mar</v>
      </c>
      <c r="S376" t="s">
        <v>486</v>
      </c>
    </row>
    <row r="377" spans="1:19" x14ac:dyDescent="0.3">
      <c r="A377" s="2" t="s">
        <v>484</v>
      </c>
      <c r="B377" s="2" t="s">
        <v>81</v>
      </c>
      <c r="C377" s="2" t="s">
        <v>213</v>
      </c>
      <c r="D377" s="3">
        <v>0.3125</v>
      </c>
      <c r="E377" s="3">
        <v>0.47916666666666702</v>
      </c>
      <c r="F377" s="2" t="s">
        <v>129</v>
      </c>
      <c r="G377" s="2" t="s">
        <v>38</v>
      </c>
      <c r="H377" s="2">
        <v>4</v>
      </c>
      <c r="I377" s="2" t="s">
        <v>482</v>
      </c>
      <c r="J377" s="2" t="s">
        <v>485</v>
      </c>
      <c r="K377" s="4" t="s">
        <v>486</v>
      </c>
      <c r="L377" s="2" t="str">
        <f>IFERROR(VLOOKUP(IFERROR(VLOOKUP(C377,'Destination Alias'!$A:$B,2,FALSE()),C377),'Best Months'!$A:$B,2,FALSE()),"Not listed")</f>
        <v>Jan–Mar</v>
      </c>
      <c r="S377" t="s">
        <v>486</v>
      </c>
    </row>
    <row r="378" spans="1:19" x14ac:dyDescent="0.3">
      <c r="A378" s="2" t="s">
        <v>484</v>
      </c>
      <c r="B378" s="2" t="s">
        <v>81</v>
      </c>
      <c r="C378" s="2" t="s">
        <v>213</v>
      </c>
      <c r="D378" s="3">
        <v>0.33333333333333298</v>
      </c>
      <c r="E378" s="3">
        <v>0.5</v>
      </c>
      <c r="F378" s="2" t="s">
        <v>129</v>
      </c>
      <c r="G378" s="2" t="s">
        <v>16</v>
      </c>
      <c r="H378" s="2">
        <v>4</v>
      </c>
      <c r="I378" s="2" t="s">
        <v>482</v>
      </c>
      <c r="J378" s="2" t="s">
        <v>485</v>
      </c>
      <c r="K378" s="4" t="s">
        <v>486</v>
      </c>
      <c r="L378" s="2" t="str">
        <f>IFERROR(VLOOKUP(IFERROR(VLOOKUP(C378,'Destination Alias'!$A:$B,2,FALSE()),C378),'Best Months'!$A:$B,2,FALSE()),"Not listed")</f>
        <v>Jan–Mar</v>
      </c>
      <c r="S378" t="s">
        <v>486</v>
      </c>
    </row>
    <row r="379" spans="1:19" x14ac:dyDescent="0.3">
      <c r="A379" s="2" t="s">
        <v>484</v>
      </c>
      <c r="B379" s="2" t="s">
        <v>81</v>
      </c>
      <c r="C379" s="2" t="s">
        <v>213</v>
      </c>
      <c r="D379" s="3">
        <v>0.35416666666666702</v>
      </c>
      <c r="E379" s="3">
        <v>0.52083333333333304</v>
      </c>
      <c r="F379" s="2" t="s">
        <v>129</v>
      </c>
      <c r="G379" s="2" t="s">
        <v>16</v>
      </c>
      <c r="H379" s="2">
        <v>3</v>
      </c>
      <c r="I379" s="2" t="s">
        <v>482</v>
      </c>
      <c r="J379" s="2" t="s">
        <v>485</v>
      </c>
      <c r="K379" s="4" t="s">
        <v>486</v>
      </c>
      <c r="L379" s="2" t="str">
        <f>IFERROR(VLOOKUP(IFERROR(VLOOKUP(C379,'Destination Alias'!$A:$B,2,FALSE()),C379),'Best Months'!$A:$B,2,FALSE()),"Not listed")</f>
        <v>Jan–Mar</v>
      </c>
      <c r="S379" t="s">
        <v>486</v>
      </c>
    </row>
    <row r="380" spans="1:19" x14ac:dyDescent="0.3">
      <c r="A380" s="2" t="s">
        <v>484</v>
      </c>
      <c r="B380" s="2" t="s">
        <v>81</v>
      </c>
      <c r="C380" s="2" t="s">
        <v>213</v>
      </c>
      <c r="D380" s="3">
        <v>0.375</v>
      </c>
      <c r="E380" s="3">
        <v>0.54166666666666696</v>
      </c>
      <c r="F380" s="2" t="s">
        <v>129</v>
      </c>
      <c r="G380" s="2" t="s">
        <v>20</v>
      </c>
      <c r="H380" s="2">
        <v>4</v>
      </c>
      <c r="I380" s="2" t="s">
        <v>482</v>
      </c>
      <c r="J380" s="2" t="s">
        <v>485</v>
      </c>
      <c r="K380" s="4" t="s">
        <v>486</v>
      </c>
      <c r="L380" s="2" t="str">
        <f>IFERROR(VLOOKUP(IFERROR(VLOOKUP(C380,'Destination Alias'!$A:$B,2,FALSE()),C380),'Best Months'!$A:$B,2,FALSE()),"Not listed")</f>
        <v>Jan–Mar</v>
      </c>
      <c r="S380" t="s">
        <v>486</v>
      </c>
    </row>
    <row r="381" spans="1:19" x14ac:dyDescent="0.3">
      <c r="A381" s="2" t="s">
        <v>484</v>
      </c>
      <c r="B381" s="2" t="s">
        <v>81</v>
      </c>
      <c r="C381" s="2" t="s">
        <v>213</v>
      </c>
      <c r="D381" s="3">
        <v>0.41666666666666702</v>
      </c>
      <c r="E381" s="3">
        <v>0.58333333333333304</v>
      </c>
      <c r="F381" s="2" t="s">
        <v>129</v>
      </c>
      <c r="G381" s="2" t="s">
        <v>20</v>
      </c>
      <c r="H381" s="2">
        <v>5</v>
      </c>
      <c r="I381" s="2" t="s">
        <v>482</v>
      </c>
      <c r="J381" s="2" t="s">
        <v>485</v>
      </c>
      <c r="K381" s="4" t="s">
        <v>486</v>
      </c>
      <c r="L381" s="2" t="str">
        <f>IFERROR(VLOOKUP(IFERROR(VLOOKUP(C381,'Destination Alias'!$A:$B,2,FALSE()),C381),'Best Months'!$A:$B,2,FALSE()),"Not listed")</f>
        <v>Jan–Mar</v>
      </c>
      <c r="S381" t="s">
        <v>486</v>
      </c>
    </row>
    <row r="382" spans="1:19" x14ac:dyDescent="0.3">
      <c r="A382" s="2" t="s">
        <v>484</v>
      </c>
      <c r="B382" s="2" t="s">
        <v>81</v>
      </c>
      <c r="C382" s="2" t="s">
        <v>213</v>
      </c>
      <c r="D382" s="3">
        <v>0.625</v>
      </c>
      <c r="E382" s="3">
        <v>0.79166666666666696</v>
      </c>
      <c r="F382" s="2" t="s">
        <v>129</v>
      </c>
      <c r="G382" s="2" t="s">
        <v>73</v>
      </c>
      <c r="H382" s="2">
        <v>5</v>
      </c>
      <c r="I382" s="2" t="s">
        <v>482</v>
      </c>
      <c r="J382" s="2" t="s">
        <v>485</v>
      </c>
      <c r="K382" s="4" t="s">
        <v>486</v>
      </c>
      <c r="L382" s="2" t="str">
        <f>IFERROR(VLOOKUP(IFERROR(VLOOKUP(C382,'Destination Alias'!$A:$B,2,FALSE()),C382),'Best Months'!$A:$B,2,FALSE()),"Not listed")</f>
        <v>Jan–Mar</v>
      </c>
      <c r="S382" t="s">
        <v>486</v>
      </c>
    </row>
    <row r="383" spans="1:19" x14ac:dyDescent="0.3">
      <c r="A383" s="2" t="s">
        <v>484</v>
      </c>
      <c r="B383" s="2" t="s">
        <v>81</v>
      </c>
      <c r="C383" s="2" t="s">
        <v>213</v>
      </c>
      <c r="D383" s="3">
        <v>0.625</v>
      </c>
      <c r="E383" s="3">
        <v>0.79166666666666696</v>
      </c>
      <c r="F383" s="2" t="s">
        <v>129</v>
      </c>
      <c r="G383" s="2" t="s">
        <v>73</v>
      </c>
      <c r="H383" s="2">
        <v>4</v>
      </c>
      <c r="I383" s="2" t="s">
        <v>482</v>
      </c>
      <c r="J383" s="2" t="s">
        <v>485</v>
      </c>
      <c r="K383" s="4" t="s">
        <v>486</v>
      </c>
      <c r="L383" s="2" t="str">
        <f>IFERROR(VLOOKUP(IFERROR(VLOOKUP(C383,'Destination Alias'!$A:$B,2,FALSE()),C383),'Best Months'!$A:$B,2,FALSE()),"Not listed")</f>
        <v>Jan–Mar</v>
      </c>
      <c r="S383" t="s">
        <v>486</v>
      </c>
    </row>
    <row r="384" spans="1:19" x14ac:dyDescent="0.3">
      <c r="A384" s="2" t="s">
        <v>484</v>
      </c>
      <c r="B384" s="2" t="s">
        <v>81</v>
      </c>
      <c r="C384" s="2" t="s">
        <v>213</v>
      </c>
      <c r="D384" s="3">
        <v>0.66666666666666696</v>
      </c>
      <c r="E384" s="3">
        <v>0.83333333333333304</v>
      </c>
      <c r="F384" s="2" t="s">
        <v>129</v>
      </c>
      <c r="G384" s="2" t="s">
        <v>73</v>
      </c>
      <c r="H384" s="2">
        <v>1</v>
      </c>
      <c r="I384" s="2" t="s">
        <v>482</v>
      </c>
      <c r="J384" s="2" t="s">
        <v>485</v>
      </c>
      <c r="K384" s="4" t="s">
        <v>486</v>
      </c>
      <c r="L384" s="2" t="str">
        <f>IFERROR(VLOOKUP(IFERROR(VLOOKUP(C384,'Destination Alias'!$A:$B,2,FALSE()),C384),'Best Months'!$A:$B,2,FALSE()),"Not listed")</f>
        <v>Jan–Mar</v>
      </c>
      <c r="S384" t="s">
        <v>486</v>
      </c>
    </row>
    <row r="385" spans="1:19" x14ac:dyDescent="0.3">
      <c r="A385" s="2" t="s">
        <v>484</v>
      </c>
      <c r="B385" s="2" t="s">
        <v>81</v>
      </c>
      <c r="C385" s="2" t="s">
        <v>213</v>
      </c>
      <c r="D385" s="3">
        <v>0.25</v>
      </c>
      <c r="E385" s="3">
        <v>0.41666666666666702</v>
      </c>
      <c r="F385" s="2" t="s">
        <v>129</v>
      </c>
      <c r="G385" s="2" t="s">
        <v>28</v>
      </c>
      <c r="H385" s="2">
        <v>4.4000000000000004</v>
      </c>
      <c r="I385" s="2" t="s">
        <v>482</v>
      </c>
      <c r="J385" s="2" t="s">
        <v>485</v>
      </c>
      <c r="K385" s="4" t="s">
        <v>486</v>
      </c>
      <c r="L385" s="2" t="str">
        <f>IFERROR(VLOOKUP(IFERROR(VLOOKUP(C385,'Destination Alias'!$A:$B,2,FALSE()),C385),'Best Months'!$A:$B,2,FALSE()),"Not listed")</f>
        <v>Jan–Mar</v>
      </c>
      <c r="S385" t="s">
        <v>486</v>
      </c>
    </row>
    <row r="386" spans="1:19" x14ac:dyDescent="0.3">
      <c r="A386" s="2" t="s">
        <v>487</v>
      </c>
      <c r="B386" s="2" t="s">
        <v>49</v>
      </c>
      <c r="C386" s="2" t="s">
        <v>44</v>
      </c>
      <c r="D386" s="3">
        <v>0.27083333333333298</v>
      </c>
      <c r="E386" s="3">
        <v>0.35416666666666702</v>
      </c>
      <c r="F386" s="2" t="s">
        <v>51</v>
      </c>
      <c r="G386" s="2" t="s">
        <v>28</v>
      </c>
      <c r="H386" s="2">
        <v>4.5</v>
      </c>
      <c r="I386" s="2" t="s">
        <v>488</v>
      </c>
      <c r="J386" s="2" t="s">
        <v>489</v>
      </c>
      <c r="K386" s="4" t="s">
        <v>490</v>
      </c>
      <c r="L386" s="2" t="str">
        <f>IFERROR(VLOOKUP(IFERROR(VLOOKUP(C386,'Destination Alias'!$A:$B,2,FALSE()),C386),'Best Months'!$A:$B,2,FALSE()),"Not listed")</f>
        <v>Jan–Mar, Jul–Sep</v>
      </c>
      <c r="S386" t="s">
        <v>490</v>
      </c>
    </row>
    <row r="387" spans="1:19" x14ac:dyDescent="0.3">
      <c r="A387" s="2" t="s">
        <v>491</v>
      </c>
      <c r="B387" s="2" t="s">
        <v>13</v>
      </c>
      <c r="C387" s="2" t="s">
        <v>108</v>
      </c>
      <c r="D387" s="3">
        <v>0.27083333333333298</v>
      </c>
      <c r="E387" s="3">
        <v>0.35416666666666702</v>
      </c>
      <c r="F387" s="2" t="s">
        <v>51</v>
      </c>
      <c r="G387" s="2" t="s">
        <v>28</v>
      </c>
      <c r="H387" s="2">
        <v>4.3</v>
      </c>
      <c r="I387" s="2" t="s">
        <v>492</v>
      </c>
      <c r="J387" s="2" t="s">
        <v>493</v>
      </c>
      <c r="K387" s="4" t="s">
        <v>490</v>
      </c>
      <c r="L387" s="2" t="str">
        <f>IFERROR(VLOOKUP(IFERROR(VLOOKUP(C387,'Destination Alias'!$A:$B,2,FALSE()),C387),'Best Months'!$A:$B,2,FALSE()),"Not listed")</f>
        <v>Jan–Mar, Jul–Aug</v>
      </c>
      <c r="S387" t="s">
        <v>490</v>
      </c>
    </row>
    <row r="388" spans="1:19" x14ac:dyDescent="0.3">
      <c r="A388" s="2" t="s">
        <v>494</v>
      </c>
      <c r="B388" s="2" t="s">
        <v>361</v>
      </c>
      <c r="C388" s="2" t="s">
        <v>65</v>
      </c>
      <c r="D388" s="3">
        <v>0.64583333333333304</v>
      </c>
      <c r="E388" s="3">
        <v>0.6875</v>
      </c>
      <c r="F388" s="2" t="s">
        <v>35</v>
      </c>
      <c r="G388" s="2" t="s">
        <v>73</v>
      </c>
      <c r="H388" s="2">
        <v>4.4000000000000004</v>
      </c>
      <c r="I388" s="2" t="s">
        <v>495</v>
      </c>
      <c r="J388" s="2" t="s">
        <v>496</v>
      </c>
      <c r="K388" s="4" t="s">
        <v>497</v>
      </c>
      <c r="L388" s="2" t="str">
        <f>IFERROR(VLOOKUP(IFERROR(VLOOKUP(C388,'Destination Alias'!$A:$B,2,FALSE()),C388),'Best Months'!$A:$B,2,FALSE()),"Not listed")</f>
        <v>Dec–Mar</v>
      </c>
      <c r="S388" t="s">
        <v>497</v>
      </c>
    </row>
    <row r="389" spans="1:19" x14ac:dyDescent="0.3">
      <c r="A389" s="2" t="s">
        <v>494</v>
      </c>
      <c r="B389" s="2" t="s">
        <v>361</v>
      </c>
      <c r="C389" s="2" t="s">
        <v>65</v>
      </c>
      <c r="D389" s="3">
        <v>0.6875</v>
      </c>
      <c r="E389" s="3">
        <v>0.72916666666666696</v>
      </c>
      <c r="F389" s="2" t="s">
        <v>35</v>
      </c>
      <c r="G389" s="2" t="s">
        <v>73</v>
      </c>
      <c r="H389" s="2">
        <v>4.4000000000000004</v>
      </c>
      <c r="I389" s="2" t="s">
        <v>495</v>
      </c>
      <c r="J389" s="2" t="s">
        <v>496</v>
      </c>
      <c r="K389" s="4" t="s">
        <v>497</v>
      </c>
      <c r="L389" s="2" t="str">
        <f>IFERROR(VLOOKUP(IFERROR(VLOOKUP(C389,'Destination Alias'!$A:$B,2,FALSE()),C389),'Best Months'!$A:$B,2,FALSE()),"Not listed")</f>
        <v>Dec–Mar</v>
      </c>
      <c r="S389" t="s">
        <v>497</v>
      </c>
    </row>
    <row r="390" spans="1:19" x14ac:dyDescent="0.3">
      <c r="A390" s="2" t="s">
        <v>498</v>
      </c>
      <c r="B390" s="2" t="s">
        <v>13</v>
      </c>
      <c r="C390" s="2" t="s">
        <v>108</v>
      </c>
      <c r="D390" s="3">
        <v>0.33333333333333298</v>
      </c>
      <c r="E390" s="3">
        <v>0.375</v>
      </c>
      <c r="F390" s="2" t="s">
        <v>35</v>
      </c>
      <c r="G390" s="2" t="s">
        <v>16</v>
      </c>
      <c r="H390" s="2">
        <v>4.2</v>
      </c>
      <c r="I390" s="2" t="s">
        <v>499</v>
      </c>
      <c r="J390" s="2" t="s">
        <v>500</v>
      </c>
      <c r="K390" s="4" t="s">
        <v>501</v>
      </c>
      <c r="L390" s="2" t="str">
        <f>IFERROR(VLOOKUP(IFERROR(VLOOKUP(C390,'Destination Alias'!$A:$B,2,FALSE()),C390),'Best Months'!$A:$B,2,FALSE()),"Not listed")</f>
        <v>Jan–Mar, Jul–Aug</v>
      </c>
      <c r="S390" t="s">
        <v>501</v>
      </c>
    </row>
    <row r="391" spans="1:19" x14ac:dyDescent="0.3">
      <c r="A391" s="2" t="s">
        <v>498</v>
      </c>
      <c r="B391" s="2" t="s">
        <v>13</v>
      </c>
      <c r="C391" s="2" t="s">
        <v>108</v>
      </c>
      <c r="D391" s="3">
        <v>0.375</v>
      </c>
      <c r="E391" s="3">
        <v>0.41666666666666702</v>
      </c>
      <c r="F391" s="2" t="s">
        <v>35</v>
      </c>
      <c r="G391" s="2" t="s">
        <v>20</v>
      </c>
      <c r="H391" s="2">
        <v>4.2</v>
      </c>
      <c r="I391" s="2" t="s">
        <v>499</v>
      </c>
      <c r="J391" s="2" t="s">
        <v>500</v>
      </c>
      <c r="K391" s="4" t="s">
        <v>501</v>
      </c>
      <c r="L391" s="2" t="str">
        <f>IFERROR(VLOOKUP(IFERROR(VLOOKUP(C391,'Destination Alias'!$A:$B,2,FALSE()),C391),'Best Months'!$A:$B,2,FALSE()),"Not listed")</f>
        <v>Jan–Mar, Jul–Aug</v>
      </c>
      <c r="S391" t="s">
        <v>501</v>
      </c>
    </row>
    <row r="392" spans="1:19" x14ac:dyDescent="0.3">
      <c r="A392" s="2" t="s">
        <v>498</v>
      </c>
      <c r="B392" s="2" t="s">
        <v>13</v>
      </c>
      <c r="C392" s="2" t="s">
        <v>108</v>
      </c>
      <c r="D392" s="3">
        <v>0.41666666666666702</v>
      </c>
      <c r="E392" s="3">
        <v>0.45833333333333298</v>
      </c>
      <c r="F392" s="2" t="s">
        <v>35</v>
      </c>
      <c r="G392" s="2" t="s">
        <v>20</v>
      </c>
      <c r="H392" s="2">
        <v>4.2</v>
      </c>
      <c r="I392" s="2" t="s">
        <v>499</v>
      </c>
      <c r="J392" s="2" t="s">
        <v>500</v>
      </c>
      <c r="K392" s="4" t="s">
        <v>501</v>
      </c>
      <c r="L392" s="2" t="str">
        <f>IFERROR(VLOOKUP(IFERROR(VLOOKUP(C392,'Destination Alias'!$A:$B,2,FALSE()),C392),'Best Months'!$A:$B,2,FALSE()),"Not listed")</f>
        <v>Jan–Mar, Jul–Aug</v>
      </c>
      <c r="S392" t="s">
        <v>501</v>
      </c>
    </row>
    <row r="393" spans="1:19" x14ac:dyDescent="0.3">
      <c r="A393" s="2" t="s">
        <v>502</v>
      </c>
      <c r="B393" s="2" t="s">
        <v>22</v>
      </c>
      <c r="C393" s="2" t="s">
        <v>44</v>
      </c>
      <c r="D393" s="3">
        <v>0.6875</v>
      </c>
      <c r="E393" s="3">
        <v>0.75</v>
      </c>
      <c r="F393" s="2" t="s">
        <v>15</v>
      </c>
      <c r="G393" s="2" t="s">
        <v>73</v>
      </c>
      <c r="H393" s="2">
        <v>4.5999999999999996</v>
      </c>
      <c r="I393" s="2" t="s">
        <v>503</v>
      </c>
      <c r="J393" s="2" t="s">
        <v>504</v>
      </c>
      <c r="K393" s="2" t="s">
        <v>505</v>
      </c>
      <c r="L393" s="2" t="str">
        <f>IFERROR(VLOOKUP(IFERROR(VLOOKUP(C393,'Destination Alias'!$A:$B,2,FALSE()),C393),'Best Months'!$A:$B,2,FALSE()),"Not listed")</f>
        <v>Jan–Mar, Jul–Sep</v>
      </c>
    </row>
    <row r="394" spans="1:19" x14ac:dyDescent="0.3">
      <c r="A394" s="2" t="s">
        <v>506</v>
      </c>
      <c r="B394" s="2" t="s">
        <v>22</v>
      </c>
      <c r="C394" s="2" t="s">
        <v>50</v>
      </c>
      <c r="D394" s="3">
        <v>0.35416666666666702</v>
      </c>
      <c r="E394" s="3">
        <v>0.39583333333333298</v>
      </c>
      <c r="F394" s="2" t="s">
        <v>35</v>
      </c>
      <c r="G394" s="2" t="s">
        <v>16</v>
      </c>
      <c r="H394" s="2">
        <v>5</v>
      </c>
      <c r="I394" s="2" t="s">
        <v>507</v>
      </c>
      <c r="J394" s="2" t="s">
        <v>508</v>
      </c>
      <c r="K394" s="2"/>
      <c r="L394" s="2" t="str">
        <f>IFERROR(VLOOKUP(IFERROR(VLOOKUP(C394,'Destination Alias'!$A:$B,2,FALSE()),C394),'Best Months'!$A:$B,2,FALSE()),"Not listed")</f>
        <v>Dec–Mar</v>
      </c>
    </row>
    <row r="395" spans="1:19" x14ac:dyDescent="0.3">
      <c r="A395" s="2" t="s">
        <v>506</v>
      </c>
      <c r="B395" s="2" t="s">
        <v>22</v>
      </c>
      <c r="C395" s="2" t="s">
        <v>50</v>
      </c>
      <c r="D395" s="3">
        <v>0.25</v>
      </c>
      <c r="E395" s="3">
        <v>0.375</v>
      </c>
      <c r="F395" s="2" t="s">
        <v>35</v>
      </c>
      <c r="G395" s="2" t="s">
        <v>28</v>
      </c>
      <c r="H395" s="2">
        <v>4.5999999999999996</v>
      </c>
      <c r="I395" s="2" t="s">
        <v>507</v>
      </c>
      <c r="J395" s="2" t="s">
        <v>508</v>
      </c>
      <c r="K395" s="2"/>
      <c r="L395" s="2" t="str">
        <f>IFERROR(VLOOKUP(IFERROR(VLOOKUP(C395,'Destination Alias'!$A:$B,2,FALSE()),C395),'Best Months'!$A:$B,2,FALSE()),"Not listed")</f>
        <v>Dec–Mar</v>
      </c>
    </row>
    <row r="396" spans="1:19" x14ac:dyDescent="0.3">
      <c r="A396" s="2" t="s">
        <v>506</v>
      </c>
      <c r="B396" s="2" t="s">
        <v>22</v>
      </c>
      <c r="C396" s="2" t="s">
        <v>50</v>
      </c>
      <c r="D396" s="3">
        <v>0.64583333333333304</v>
      </c>
      <c r="E396" s="3">
        <v>0.72916666666666696</v>
      </c>
      <c r="F396" s="2" t="s">
        <v>35</v>
      </c>
      <c r="G396" s="2" t="s">
        <v>73</v>
      </c>
      <c r="H396" s="2">
        <v>4.5999999999999996</v>
      </c>
      <c r="I396" s="2" t="s">
        <v>507</v>
      </c>
      <c r="J396" s="2" t="s">
        <v>508</v>
      </c>
      <c r="K396" s="2"/>
      <c r="L396" s="2" t="str">
        <f>IFERROR(VLOOKUP(IFERROR(VLOOKUP(C396,'Destination Alias'!$A:$B,2,FALSE()),C396),'Best Months'!$A:$B,2,FALSE()),"Not listed")</f>
        <v>Dec–Mar</v>
      </c>
    </row>
    <row r="397" spans="1:19" x14ac:dyDescent="0.3">
      <c r="A397" s="2" t="s">
        <v>506</v>
      </c>
      <c r="B397" s="2" t="s">
        <v>22</v>
      </c>
      <c r="C397" s="2" t="s">
        <v>50</v>
      </c>
      <c r="D397" s="3">
        <v>0.6875</v>
      </c>
      <c r="E397" s="3">
        <v>0.72916666666666696</v>
      </c>
      <c r="F397" s="2" t="s">
        <v>35</v>
      </c>
      <c r="G397" s="2" t="s">
        <v>73</v>
      </c>
      <c r="H397" s="2">
        <v>4.5999999999999996</v>
      </c>
      <c r="I397" s="2" t="s">
        <v>507</v>
      </c>
      <c r="J397" s="2" t="s">
        <v>508</v>
      </c>
      <c r="K397" s="2"/>
      <c r="L397" s="2" t="str">
        <f>IFERROR(VLOOKUP(IFERROR(VLOOKUP(C397,'Destination Alias'!$A:$B,2,FALSE()),C397),'Best Months'!$A:$B,2,FALSE()),"Not listed")</f>
        <v>Dec–Mar</v>
      </c>
    </row>
    <row r="398" spans="1:19" x14ac:dyDescent="0.3">
      <c r="A398" s="2" t="s">
        <v>506</v>
      </c>
      <c r="B398" s="2" t="s">
        <v>22</v>
      </c>
      <c r="C398" s="2" t="s">
        <v>50</v>
      </c>
      <c r="D398" s="3">
        <v>0.72916666666666696</v>
      </c>
      <c r="E398" s="3">
        <v>0.77083333333333304</v>
      </c>
      <c r="F398" s="2" t="s">
        <v>35</v>
      </c>
      <c r="G398" s="2" t="s">
        <v>52</v>
      </c>
      <c r="H398" s="2">
        <v>4.5999999999999996</v>
      </c>
      <c r="I398" s="2" t="s">
        <v>507</v>
      </c>
      <c r="J398" s="2" t="s">
        <v>508</v>
      </c>
      <c r="K398" s="2"/>
      <c r="L398" s="2" t="str">
        <f>IFERROR(VLOOKUP(IFERROR(VLOOKUP(C398,'Destination Alias'!$A:$B,2,FALSE()),C398),'Best Months'!$A:$B,2,FALSE()),"Not listed")</f>
        <v>Dec–Mar</v>
      </c>
    </row>
    <row r="399" spans="1:19" x14ac:dyDescent="0.3">
      <c r="A399" s="2" t="s">
        <v>509</v>
      </c>
      <c r="B399" s="2" t="s">
        <v>22</v>
      </c>
      <c r="C399" s="2" t="s">
        <v>250</v>
      </c>
      <c r="D399" s="3">
        <v>0.27083333333333298</v>
      </c>
      <c r="E399" s="3">
        <v>0.33333333333333298</v>
      </c>
      <c r="F399" s="2" t="s">
        <v>15</v>
      </c>
      <c r="G399" s="2" t="s">
        <v>28</v>
      </c>
      <c r="H399" s="2">
        <v>4</v>
      </c>
      <c r="I399" s="2" t="s">
        <v>510</v>
      </c>
      <c r="J399" s="2" t="s">
        <v>511</v>
      </c>
      <c r="K399" s="2"/>
      <c r="L399" s="2" t="str">
        <f>IFERROR(VLOOKUP(IFERROR(VLOOKUP(C399,'Destination Alias'!$A:$B,2,FALSE()),C399),'Best Months'!$A:$B,2,FALSE()),"Not listed")</f>
        <v>Feb–Sep</v>
      </c>
    </row>
    <row r="400" spans="1:19" x14ac:dyDescent="0.3">
      <c r="A400" s="2" t="s">
        <v>509</v>
      </c>
      <c r="B400" s="2" t="s">
        <v>22</v>
      </c>
      <c r="C400" s="2" t="s">
        <v>250</v>
      </c>
      <c r="D400" s="3">
        <v>0.35416666666666702</v>
      </c>
      <c r="E400" s="3">
        <v>0.41666666666666702</v>
      </c>
      <c r="F400" s="2" t="s">
        <v>15</v>
      </c>
      <c r="G400" s="2" t="s">
        <v>16</v>
      </c>
      <c r="H400" s="2">
        <v>5</v>
      </c>
      <c r="I400" s="2" t="s">
        <v>510</v>
      </c>
      <c r="J400" s="2" t="s">
        <v>511</v>
      </c>
      <c r="K400" s="2"/>
      <c r="L400" s="2" t="str">
        <f>IFERROR(VLOOKUP(IFERROR(VLOOKUP(C400,'Destination Alias'!$A:$B,2,FALSE()),C400),'Best Months'!$A:$B,2,FALSE()),"Not listed")</f>
        <v>Feb–Sep</v>
      </c>
    </row>
    <row r="401" spans="1:19" x14ac:dyDescent="0.3">
      <c r="A401" s="2" t="s">
        <v>509</v>
      </c>
      <c r="B401" s="2" t="s">
        <v>22</v>
      </c>
      <c r="C401" s="2" t="s">
        <v>250</v>
      </c>
      <c r="D401" s="3">
        <v>0.625</v>
      </c>
      <c r="E401" s="3">
        <v>0.6875</v>
      </c>
      <c r="F401" s="2" t="s">
        <v>15</v>
      </c>
      <c r="G401" s="2" t="s">
        <v>73</v>
      </c>
      <c r="H401" s="2">
        <v>3</v>
      </c>
      <c r="I401" s="2" t="s">
        <v>510</v>
      </c>
      <c r="J401" s="2" t="s">
        <v>511</v>
      </c>
      <c r="K401" s="2"/>
      <c r="L401" s="2" t="str">
        <f>IFERROR(VLOOKUP(IFERROR(VLOOKUP(C401,'Destination Alias'!$A:$B,2,FALSE()),C401),'Best Months'!$A:$B,2,FALSE()),"Not listed")</f>
        <v>Feb–Sep</v>
      </c>
    </row>
    <row r="402" spans="1:19" x14ac:dyDescent="0.3">
      <c r="A402" s="2" t="s">
        <v>509</v>
      </c>
      <c r="B402" s="2" t="s">
        <v>22</v>
      </c>
      <c r="C402" s="2" t="s">
        <v>250</v>
      </c>
      <c r="D402" s="3">
        <v>0.6875</v>
      </c>
      <c r="E402" s="3">
        <v>0.75</v>
      </c>
      <c r="F402" s="2" t="s">
        <v>15</v>
      </c>
      <c r="G402" s="2" t="s">
        <v>73</v>
      </c>
      <c r="H402" s="2">
        <v>4</v>
      </c>
      <c r="I402" s="2" t="s">
        <v>510</v>
      </c>
      <c r="J402" s="2" t="s">
        <v>511</v>
      </c>
      <c r="K402" s="2"/>
      <c r="L402" s="2" t="str">
        <f>IFERROR(VLOOKUP(IFERROR(VLOOKUP(C402,'Destination Alias'!$A:$B,2,FALSE()),C402),'Best Months'!$A:$B,2,FALSE()),"Not listed")</f>
        <v>Feb–Sep</v>
      </c>
    </row>
    <row r="403" spans="1:19" x14ac:dyDescent="0.3">
      <c r="A403" s="2" t="s">
        <v>509</v>
      </c>
      <c r="B403" s="2" t="s">
        <v>22</v>
      </c>
      <c r="C403" s="2" t="s">
        <v>250</v>
      </c>
      <c r="D403" s="3">
        <v>0.72916666666666696</v>
      </c>
      <c r="E403" s="3">
        <v>0.79166666666666696</v>
      </c>
      <c r="F403" s="2" t="s">
        <v>15</v>
      </c>
      <c r="G403" s="2" t="s">
        <v>52</v>
      </c>
      <c r="H403" s="2">
        <v>3</v>
      </c>
      <c r="I403" s="2" t="s">
        <v>510</v>
      </c>
      <c r="J403" s="2" t="s">
        <v>511</v>
      </c>
      <c r="K403" s="2"/>
      <c r="L403" s="2" t="str">
        <f>IFERROR(VLOOKUP(IFERROR(VLOOKUP(C403,'Destination Alias'!$A:$B,2,FALSE()),C403),'Best Months'!$A:$B,2,FALSE()),"Not listed")</f>
        <v>Feb–Sep</v>
      </c>
    </row>
    <row r="404" spans="1:19" x14ac:dyDescent="0.3">
      <c r="A404" s="2" t="s">
        <v>509</v>
      </c>
      <c r="B404" s="2" t="s">
        <v>22</v>
      </c>
      <c r="C404" s="2" t="s">
        <v>250</v>
      </c>
      <c r="D404" s="3">
        <v>0.75</v>
      </c>
      <c r="E404" s="3">
        <v>0.8125</v>
      </c>
      <c r="F404" s="2" t="s">
        <v>15</v>
      </c>
      <c r="G404" s="2" t="s">
        <v>102</v>
      </c>
      <c r="H404" s="2">
        <v>5</v>
      </c>
      <c r="I404" s="2" t="s">
        <v>510</v>
      </c>
      <c r="J404" s="2" t="s">
        <v>511</v>
      </c>
      <c r="K404" s="2"/>
      <c r="L404" s="2" t="str">
        <f>IFERROR(VLOOKUP(IFERROR(VLOOKUP(C404,'Destination Alias'!$A:$B,2,FALSE()),C404),'Best Months'!$A:$B,2,FALSE()),"Not listed")</f>
        <v>Feb–Sep</v>
      </c>
    </row>
    <row r="405" spans="1:19" x14ac:dyDescent="0.3">
      <c r="A405" s="2" t="s">
        <v>509</v>
      </c>
      <c r="B405" s="2" t="s">
        <v>22</v>
      </c>
      <c r="C405" s="2" t="s">
        <v>250</v>
      </c>
      <c r="D405" s="3">
        <v>0.64583333333333304</v>
      </c>
      <c r="E405" s="3">
        <v>0.70833333333333304</v>
      </c>
      <c r="F405" s="2" t="s">
        <v>15</v>
      </c>
      <c r="G405" s="2" t="s">
        <v>73</v>
      </c>
      <c r="H405" s="2">
        <v>4.0999999999999996</v>
      </c>
      <c r="I405" s="2" t="s">
        <v>510</v>
      </c>
      <c r="J405" s="2" t="s">
        <v>511</v>
      </c>
      <c r="K405" s="2"/>
      <c r="L405" s="2" t="str">
        <f>IFERROR(VLOOKUP(IFERROR(VLOOKUP(C405,'Destination Alias'!$A:$B,2,FALSE()),C405),'Best Months'!$A:$B,2,FALSE()),"Not listed")</f>
        <v>Feb–Sep</v>
      </c>
    </row>
    <row r="406" spans="1:19" x14ac:dyDescent="0.3">
      <c r="A406" s="2" t="s">
        <v>509</v>
      </c>
      <c r="B406" s="2" t="s">
        <v>22</v>
      </c>
      <c r="C406" s="2" t="s">
        <v>250</v>
      </c>
      <c r="D406" s="3">
        <v>0.70833333333333304</v>
      </c>
      <c r="E406" s="3">
        <v>0.77083333333333304</v>
      </c>
      <c r="F406" s="2" t="s">
        <v>15</v>
      </c>
      <c r="G406" s="2" t="s">
        <v>52</v>
      </c>
      <c r="H406" s="2">
        <v>4.0999999999999996</v>
      </c>
      <c r="I406" s="2" t="s">
        <v>510</v>
      </c>
      <c r="J406" s="2" t="s">
        <v>511</v>
      </c>
      <c r="K406" s="2"/>
      <c r="L406" s="2" t="str">
        <f>IFERROR(VLOOKUP(IFERROR(VLOOKUP(C406,'Destination Alias'!$A:$B,2,FALSE()),C406),'Best Months'!$A:$B,2,FALSE()),"Not listed")</f>
        <v>Feb–Sep</v>
      </c>
    </row>
    <row r="407" spans="1:19" x14ac:dyDescent="0.3">
      <c r="A407" s="2" t="s">
        <v>512</v>
      </c>
      <c r="B407" s="2" t="s">
        <v>22</v>
      </c>
      <c r="C407" s="2" t="s">
        <v>163</v>
      </c>
      <c r="D407" s="3">
        <v>0.73958333333333304</v>
      </c>
      <c r="E407" s="3">
        <v>0.78125</v>
      </c>
      <c r="F407" s="2" t="s">
        <v>35</v>
      </c>
      <c r="G407" s="2" t="s">
        <v>52</v>
      </c>
      <c r="H407" s="2">
        <v>5</v>
      </c>
      <c r="I407" s="2" t="s">
        <v>513</v>
      </c>
      <c r="J407" s="2" t="s">
        <v>514</v>
      </c>
      <c r="K407" s="4" t="s">
        <v>515</v>
      </c>
      <c r="L407" s="2" t="str">
        <f>IFERROR(VLOOKUP(IFERROR(VLOOKUP(C407,'Destination Alias'!$A:$B,2,FALSE()),C407),'Best Months'!$A:$B,2,FALSE()),"Not listed")</f>
        <v>Dec–Mar</v>
      </c>
      <c r="S407" t="s">
        <v>515</v>
      </c>
    </row>
    <row r="408" spans="1:19" x14ac:dyDescent="0.3">
      <c r="A408" s="2" t="s">
        <v>512</v>
      </c>
      <c r="B408" s="2" t="s">
        <v>22</v>
      </c>
      <c r="C408" s="2" t="s">
        <v>163</v>
      </c>
      <c r="D408" s="3">
        <v>0.25</v>
      </c>
      <c r="E408" s="3">
        <v>0.375</v>
      </c>
      <c r="F408" s="2" t="s">
        <v>35</v>
      </c>
      <c r="G408" s="2" t="s">
        <v>28</v>
      </c>
      <c r="H408" s="2">
        <v>4.5999999999999996</v>
      </c>
      <c r="I408" s="2" t="s">
        <v>513</v>
      </c>
      <c r="J408" s="2" t="s">
        <v>514</v>
      </c>
      <c r="K408" s="4" t="s">
        <v>515</v>
      </c>
      <c r="L408" s="2" t="str">
        <f>IFERROR(VLOOKUP(IFERROR(VLOOKUP(C408,'Destination Alias'!$A:$B,2,FALSE()),C408),'Best Months'!$A:$B,2,FALSE()),"Not listed")</f>
        <v>Dec–Mar</v>
      </c>
      <c r="S408" t="s">
        <v>515</v>
      </c>
    </row>
    <row r="409" spans="1:19" x14ac:dyDescent="0.3">
      <c r="A409" s="2" t="s">
        <v>512</v>
      </c>
      <c r="B409" s="2" t="s">
        <v>22</v>
      </c>
      <c r="C409" s="2" t="s">
        <v>163</v>
      </c>
      <c r="D409" s="3">
        <v>0.70833333333333304</v>
      </c>
      <c r="E409" s="3">
        <v>0.77083333333333304</v>
      </c>
      <c r="F409" s="2" t="s">
        <v>35</v>
      </c>
      <c r="G409" s="2" t="s">
        <v>52</v>
      </c>
      <c r="H409" s="2">
        <v>4.5999999999999996</v>
      </c>
      <c r="I409" s="2" t="s">
        <v>513</v>
      </c>
      <c r="J409" s="2" t="s">
        <v>514</v>
      </c>
      <c r="K409" s="4" t="s">
        <v>515</v>
      </c>
      <c r="L409" s="2" t="str">
        <f>IFERROR(VLOOKUP(IFERROR(VLOOKUP(C409,'Destination Alias'!$A:$B,2,FALSE()),C409),'Best Months'!$A:$B,2,FALSE()),"Not listed")</f>
        <v>Dec–Mar</v>
      </c>
      <c r="S409" t="s">
        <v>515</v>
      </c>
    </row>
    <row r="410" spans="1:19" x14ac:dyDescent="0.3">
      <c r="A410" s="2" t="s">
        <v>512</v>
      </c>
      <c r="B410" s="2" t="s">
        <v>22</v>
      </c>
      <c r="C410" s="2" t="s">
        <v>163</v>
      </c>
      <c r="D410" s="3">
        <v>0.6875</v>
      </c>
      <c r="E410" s="3">
        <v>0.72916666666666696</v>
      </c>
      <c r="F410" s="2" t="s">
        <v>35</v>
      </c>
      <c r="G410" s="2" t="s">
        <v>73</v>
      </c>
      <c r="H410" s="2">
        <v>4.5999999999999996</v>
      </c>
      <c r="I410" s="2" t="s">
        <v>513</v>
      </c>
      <c r="J410" s="2" t="s">
        <v>514</v>
      </c>
      <c r="K410" s="4" t="s">
        <v>515</v>
      </c>
      <c r="L410" s="2" t="str">
        <f>IFERROR(VLOOKUP(IFERROR(VLOOKUP(C410,'Destination Alias'!$A:$B,2,FALSE()),C410),'Best Months'!$A:$B,2,FALSE()),"Not listed")</f>
        <v>Dec–Mar</v>
      </c>
      <c r="S410" t="s">
        <v>515</v>
      </c>
    </row>
    <row r="411" spans="1:19" x14ac:dyDescent="0.3">
      <c r="A411" s="2" t="s">
        <v>512</v>
      </c>
      <c r="B411" s="2" t="s">
        <v>22</v>
      </c>
      <c r="C411" s="2" t="s">
        <v>163</v>
      </c>
      <c r="D411" s="3">
        <v>0.72916666666666696</v>
      </c>
      <c r="E411" s="3">
        <v>0.77083333333333304</v>
      </c>
      <c r="F411" s="2" t="s">
        <v>35</v>
      </c>
      <c r="G411" s="2" t="s">
        <v>52</v>
      </c>
      <c r="H411" s="2">
        <v>4.5999999999999996</v>
      </c>
      <c r="I411" s="2" t="s">
        <v>513</v>
      </c>
      <c r="J411" s="2" t="s">
        <v>514</v>
      </c>
      <c r="K411" s="4" t="s">
        <v>515</v>
      </c>
      <c r="L411" s="2" t="str">
        <f>IFERROR(VLOOKUP(IFERROR(VLOOKUP(C411,'Destination Alias'!$A:$B,2,FALSE()),C411),'Best Months'!$A:$B,2,FALSE()),"Not listed")</f>
        <v>Dec–Mar</v>
      </c>
      <c r="S411" t="s">
        <v>515</v>
      </c>
    </row>
    <row r="412" spans="1:19" x14ac:dyDescent="0.3">
      <c r="A412" s="2" t="s">
        <v>516</v>
      </c>
      <c r="B412" s="2" t="s">
        <v>13</v>
      </c>
      <c r="C412" s="2" t="s">
        <v>108</v>
      </c>
      <c r="D412" s="3">
        <v>0.33333333333333298</v>
      </c>
      <c r="E412" s="3">
        <v>0.39583333333333298</v>
      </c>
      <c r="F412" s="2" t="s">
        <v>15</v>
      </c>
      <c r="G412" s="2" t="s">
        <v>16</v>
      </c>
      <c r="H412" s="2">
        <v>4</v>
      </c>
      <c r="I412" s="2" t="s">
        <v>17</v>
      </c>
      <c r="J412" s="2" t="s">
        <v>517</v>
      </c>
      <c r="K412" s="4" t="s">
        <v>518</v>
      </c>
      <c r="L412" s="2" t="str">
        <f>IFERROR(VLOOKUP(IFERROR(VLOOKUP(C412,'Destination Alias'!$A:$B,2,FALSE()),C412),'Best Months'!$A:$B,2,FALSE()),"Not listed")</f>
        <v>Jan–Mar, Jul–Aug</v>
      </c>
      <c r="S412" t="s">
        <v>518</v>
      </c>
    </row>
    <row r="413" spans="1:19" x14ac:dyDescent="0.3">
      <c r="A413" s="2" t="s">
        <v>516</v>
      </c>
      <c r="B413" s="2" t="s">
        <v>13</v>
      </c>
      <c r="C413" s="2" t="s">
        <v>108</v>
      </c>
      <c r="D413" s="3">
        <v>0.39583333333333298</v>
      </c>
      <c r="E413" s="3">
        <v>0.45833333333333298</v>
      </c>
      <c r="F413" s="2" t="s">
        <v>15</v>
      </c>
      <c r="G413" s="2" t="s">
        <v>20</v>
      </c>
      <c r="H413" s="2">
        <v>4</v>
      </c>
      <c r="I413" s="2" t="s">
        <v>17</v>
      </c>
      <c r="J413" s="2" t="s">
        <v>517</v>
      </c>
      <c r="K413" s="4" t="s">
        <v>518</v>
      </c>
      <c r="L413" s="2" t="str">
        <f>IFERROR(VLOOKUP(IFERROR(VLOOKUP(C413,'Destination Alias'!$A:$B,2,FALSE()),C413),'Best Months'!$A:$B,2,FALSE()),"Not listed")</f>
        <v>Jan–Mar, Jul–Aug</v>
      </c>
      <c r="S413" t="s">
        <v>518</v>
      </c>
    </row>
    <row r="414" spans="1:19" x14ac:dyDescent="0.3">
      <c r="A414" s="2" t="s">
        <v>519</v>
      </c>
      <c r="B414" s="2" t="s">
        <v>241</v>
      </c>
      <c r="C414" s="2" t="s">
        <v>163</v>
      </c>
      <c r="D414" s="3">
        <v>0.27083333333333298</v>
      </c>
      <c r="E414" s="3">
        <v>0.39583333333333298</v>
      </c>
      <c r="F414" s="2" t="s">
        <v>61</v>
      </c>
      <c r="G414" s="2" t="s">
        <v>28</v>
      </c>
      <c r="H414" s="2">
        <v>4</v>
      </c>
      <c r="I414" s="2" t="s">
        <v>520</v>
      </c>
      <c r="J414" s="2" t="s">
        <v>521</v>
      </c>
      <c r="K414" s="2"/>
      <c r="L414" s="2" t="str">
        <f>IFERROR(VLOOKUP(IFERROR(VLOOKUP(C414,'Destination Alias'!$A:$B,2,FALSE()),C414),'Best Months'!$A:$B,2,FALSE()),"Not listed")</f>
        <v>Dec–Mar</v>
      </c>
    </row>
    <row r="415" spans="1:19" x14ac:dyDescent="0.3">
      <c r="A415" s="2" t="s">
        <v>519</v>
      </c>
      <c r="B415" s="2" t="s">
        <v>241</v>
      </c>
      <c r="C415" s="2" t="s">
        <v>163</v>
      </c>
      <c r="D415" s="3">
        <v>0.27083333333333298</v>
      </c>
      <c r="E415" s="3">
        <v>0.39583333333333298</v>
      </c>
      <c r="F415" s="2" t="s">
        <v>61</v>
      </c>
      <c r="G415" s="2" t="s">
        <v>28</v>
      </c>
      <c r="H415" s="2">
        <v>4</v>
      </c>
      <c r="I415" s="2" t="s">
        <v>520</v>
      </c>
      <c r="J415" s="2" t="s">
        <v>521</v>
      </c>
      <c r="K415" s="2"/>
      <c r="L415" s="2" t="str">
        <f>IFERROR(VLOOKUP(IFERROR(VLOOKUP(C415,'Destination Alias'!$A:$B,2,FALSE()),C415),'Best Months'!$A:$B,2,FALSE()),"Not listed")</f>
        <v>Dec–Mar</v>
      </c>
    </row>
    <row r="416" spans="1:19" x14ac:dyDescent="0.3">
      <c r="A416" s="2" t="s">
        <v>519</v>
      </c>
      <c r="B416" s="2" t="s">
        <v>241</v>
      </c>
      <c r="C416" s="2" t="s">
        <v>163</v>
      </c>
      <c r="D416" s="3">
        <v>0.33333333333333298</v>
      </c>
      <c r="E416" s="3">
        <v>0.45833333333333298</v>
      </c>
      <c r="F416" s="2" t="s">
        <v>61</v>
      </c>
      <c r="G416" s="2" t="s">
        <v>16</v>
      </c>
      <c r="H416" s="2">
        <v>5</v>
      </c>
      <c r="I416" s="2" t="s">
        <v>520</v>
      </c>
      <c r="J416" s="2" t="s">
        <v>521</v>
      </c>
      <c r="K416" s="2"/>
      <c r="L416" s="2" t="str">
        <f>IFERROR(VLOOKUP(IFERROR(VLOOKUP(C416,'Destination Alias'!$A:$B,2,FALSE()),C416),'Best Months'!$A:$B,2,FALSE()),"Not listed")</f>
        <v>Dec–Mar</v>
      </c>
    </row>
    <row r="417" spans="1:12" x14ac:dyDescent="0.3">
      <c r="A417" s="2" t="s">
        <v>519</v>
      </c>
      <c r="B417" s="2" t="s">
        <v>241</v>
      </c>
      <c r="C417" s="2" t="s">
        <v>163</v>
      </c>
      <c r="D417" s="3">
        <v>0.35416666666666702</v>
      </c>
      <c r="E417" s="3">
        <v>0.47916666666666702</v>
      </c>
      <c r="F417" s="2" t="s">
        <v>61</v>
      </c>
      <c r="G417" s="2" t="s">
        <v>16</v>
      </c>
      <c r="H417" s="2">
        <v>4</v>
      </c>
      <c r="I417" s="2" t="s">
        <v>520</v>
      </c>
      <c r="J417" s="2" t="s">
        <v>521</v>
      </c>
      <c r="K417" s="2"/>
      <c r="L417" s="2" t="str">
        <f>IFERROR(VLOOKUP(IFERROR(VLOOKUP(C417,'Destination Alias'!$A:$B,2,FALSE()),C417),'Best Months'!$A:$B,2,FALSE()),"Not listed")</f>
        <v>Dec–Mar</v>
      </c>
    </row>
    <row r="418" spans="1:12" x14ac:dyDescent="0.3">
      <c r="A418" s="2" t="s">
        <v>519</v>
      </c>
      <c r="B418" s="2" t="s">
        <v>241</v>
      </c>
      <c r="C418" s="2" t="s">
        <v>163</v>
      </c>
      <c r="D418" s="3">
        <v>0.39583333333333298</v>
      </c>
      <c r="E418" s="3">
        <v>0.52083333333333304</v>
      </c>
      <c r="F418" s="2" t="s">
        <v>61</v>
      </c>
      <c r="G418" s="2" t="s">
        <v>20</v>
      </c>
      <c r="H418" s="2">
        <v>4</v>
      </c>
      <c r="I418" s="2" t="s">
        <v>520</v>
      </c>
      <c r="J418" s="2" t="s">
        <v>521</v>
      </c>
      <c r="K418" s="2"/>
      <c r="L418" s="2" t="str">
        <f>IFERROR(VLOOKUP(IFERROR(VLOOKUP(C418,'Destination Alias'!$A:$B,2,FALSE()),C418),'Best Months'!$A:$B,2,FALSE()),"Not listed")</f>
        <v>Dec–Mar</v>
      </c>
    </row>
    <row r="419" spans="1:12" x14ac:dyDescent="0.3">
      <c r="A419" s="2" t="s">
        <v>519</v>
      </c>
      <c r="B419" s="2" t="s">
        <v>241</v>
      </c>
      <c r="C419" s="2" t="s">
        <v>163</v>
      </c>
      <c r="D419" s="3">
        <v>0.5</v>
      </c>
      <c r="E419" s="3">
        <v>0.625</v>
      </c>
      <c r="F419" s="2" t="s">
        <v>61</v>
      </c>
      <c r="G419" s="2" t="s">
        <v>220</v>
      </c>
      <c r="H419" s="2">
        <v>5</v>
      </c>
      <c r="I419" s="2" t="s">
        <v>520</v>
      </c>
      <c r="J419" s="2" t="s">
        <v>521</v>
      </c>
      <c r="K419" s="2"/>
      <c r="L419" s="2" t="str">
        <f>IFERROR(VLOOKUP(IFERROR(VLOOKUP(C419,'Destination Alias'!$A:$B,2,FALSE()),C419),'Best Months'!$A:$B,2,FALSE()),"Not listed")</f>
        <v>Dec–Mar</v>
      </c>
    </row>
    <row r="420" spans="1:12" x14ac:dyDescent="0.3">
      <c r="A420" s="2" t="s">
        <v>519</v>
      </c>
      <c r="B420" s="2" t="s">
        <v>241</v>
      </c>
      <c r="C420" s="2" t="s">
        <v>163</v>
      </c>
      <c r="D420" s="3">
        <v>0.625</v>
      </c>
      <c r="E420" s="3">
        <v>0.75</v>
      </c>
      <c r="F420" s="2" t="s">
        <v>61</v>
      </c>
      <c r="G420" s="2" t="s">
        <v>73</v>
      </c>
      <c r="H420" s="2">
        <v>1</v>
      </c>
      <c r="I420" s="2" t="s">
        <v>520</v>
      </c>
      <c r="J420" s="2" t="s">
        <v>521</v>
      </c>
      <c r="K420" s="2"/>
      <c r="L420" s="2" t="str">
        <f>IFERROR(VLOOKUP(IFERROR(VLOOKUP(C420,'Destination Alias'!$A:$B,2,FALSE()),C420),'Best Months'!$A:$B,2,FALSE()),"Not listed")</f>
        <v>Dec–Mar</v>
      </c>
    </row>
    <row r="421" spans="1:12" x14ac:dyDescent="0.3">
      <c r="A421" s="2" t="s">
        <v>519</v>
      </c>
      <c r="B421" s="2" t="s">
        <v>241</v>
      </c>
      <c r="C421" s="2" t="s">
        <v>163</v>
      </c>
      <c r="D421" s="3">
        <v>0.72916666666666696</v>
      </c>
      <c r="E421" s="3">
        <v>0.85416666666666696</v>
      </c>
      <c r="F421" s="2" t="s">
        <v>61</v>
      </c>
      <c r="G421" s="2" t="s">
        <v>52</v>
      </c>
      <c r="H421" s="2">
        <v>5</v>
      </c>
      <c r="I421" s="2" t="s">
        <v>520</v>
      </c>
      <c r="J421" s="2" t="s">
        <v>521</v>
      </c>
      <c r="K421" s="2"/>
      <c r="L421" s="2" t="str">
        <f>IFERROR(VLOOKUP(IFERROR(VLOOKUP(C421,'Destination Alias'!$A:$B,2,FALSE()),C421),'Best Months'!$A:$B,2,FALSE()),"Not listed")</f>
        <v>Dec–Mar</v>
      </c>
    </row>
    <row r="422" spans="1:12" x14ac:dyDescent="0.3">
      <c r="A422" s="2" t="s">
        <v>519</v>
      </c>
      <c r="B422" s="2" t="s">
        <v>241</v>
      </c>
      <c r="C422" s="2" t="s">
        <v>163</v>
      </c>
      <c r="D422" s="3">
        <v>0.75</v>
      </c>
      <c r="E422" s="3">
        <v>0.875</v>
      </c>
      <c r="F422" s="2" t="s">
        <v>61</v>
      </c>
      <c r="G422" s="2" t="s">
        <v>102</v>
      </c>
      <c r="H422" s="2">
        <v>4</v>
      </c>
      <c r="I422" s="2" t="s">
        <v>520</v>
      </c>
      <c r="J422" s="2" t="s">
        <v>521</v>
      </c>
      <c r="K422" s="2"/>
      <c r="L422" s="2" t="str">
        <f>IFERROR(VLOOKUP(IFERROR(VLOOKUP(C422,'Destination Alias'!$A:$B,2,FALSE()),C422),'Best Months'!$A:$B,2,FALSE()),"Not listed")</f>
        <v>Dec–Mar</v>
      </c>
    </row>
    <row r="423" spans="1:12" x14ac:dyDescent="0.3">
      <c r="A423" s="2" t="s">
        <v>519</v>
      </c>
      <c r="B423" s="2" t="s">
        <v>241</v>
      </c>
      <c r="C423" s="2" t="s">
        <v>163</v>
      </c>
      <c r="D423" s="3">
        <v>0.91666666666666696</v>
      </c>
      <c r="E423" s="3">
        <v>4.1666666666666699E-2</v>
      </c>
      <c r="F423" s="2" t="s">
        <v>61</v>
      </c>
      <c r="G423" s="2" t="s">
        <v>380</v>
      </c>
      <c r="H423" s="2">
        <v>5</v>
      </c>
      <c r="I423" s="2" t="s">
        <v>520</v>
      </c>
      <c r="J423" s="2" t="s">
        <v>521</v>
      </c>
      <c r="K423" s="2"/>
      <c r="L423" s="2" t="str">
        <f>IFERROR(VLOOKUP(IFERROR(VLOOKUP(C423,'Destination Alias'!$A:$B,2,FALSE()),C423),'Best Months'!$A:$B,2,FALSE()),"Not listed")</f>
        <v>Dec–Mar</v>
      </c>
    </row>
    <row r="424" spans="1:12" x14ac:dyDescent="0.3">
      <c r="A424" s="2" t="s">
        <v>519</v>
      </c>
      <c r="B424" s="2" t="s">
        <v>241</v>
      </c>
      <c r="C424" s="2" t="s">
        <v>163</v>
      </c>
      <c r="D424" s="3">
        <v>0.33333333333333298</v>
      </c>
      <c r="E424" s="3">
        <v>0.45833333333333298</v>
      </c>
      <c r="F424" s="2" t="s">
        <v>61</v>
      </c>
      <c r="G424" s="2" t="s">
        <v>16</v>
      </c>
      <c r="H424" s="2">
        <v>4.2</v>
      </c>
      <c r="I424" s="2" t="s">
        <v>520</v>
      </c>
      <c r="J424" s="2" t="s">
        <v>521</v>
      </c>
      <c r="K424" s="2"/>
      <c r="L424" s="2" t="str">
        <f>IFERROR(VLOOKUP(IFERROR(VLOOKUP(C424,'Destination Alias'!$A:$B,2,FALSE()),C424),'Best Months'!$A:$B,2,FALSE()),"Not listed")</f>
        <v>Dec–Mar</v>
      </c>
    </row>
    <row r="425" spans="1:12" x14ac:dyDescent="0.3">
      <c r="A425" s="2" t="s">
        <v>522</v>
      </c>
      <c r="B425" s="2" t="s">
        <v>241</v>
      </c>
      <c r="C425" s="2" t="s">
        <v>163</v>
      </c>
      <c r="D425" s="3">
        <v>0.27083333333333298</v>
      </c>
      <c r="E425" s="3">
        <v>0.39583333333333298</v>
      </c>
      <c r="F425" s="2" t="s">
        <v>61</v>
      </c>
      <c r="G425" s="2" t="s">
        <v>28</v>
      </c>
      <c r="H425" s="2">
        <v>4</v>
      </c>
      <c r="I425" s="2" t="s">
        <v>523</v>
      </c>
      <c r="J425" s="2" t="s">
        <v>524</v>
      </c>
      <c r="K425" s="2"/>
      <c r="L425" s="2" t="str">
        <f>IFERROR(VLOOKUP(IFERROR(VLOOKUP(C425,'Destination Alias'!$A:$B,2,FALSE()),C425),'Best Months'!$A:$B,2,FALSE()),"Not listed")</f>
        <v>Dec–Mar</v>
      </c>
    </row>
    <row r="426" spans="1:12" x14ac:dyDescent="0.3">
      <c r="A426" s="2" t="s">
        <v>522</v>
      </c>
      <c r="B426" s="2" t="s">
        <v>241</v>
      </c>
      <c r="C426" s="2" t="s">
        <v>163</v>
      </c>
      <c r="D426" s="3">
        <v>0.33333333333333298</v>
      </c>
      <c r="E426" s="3">
        <v>0.45833333333333298</v>
      </c>
      <c r="F426" s="2" t="s">
        <v>61</v>
      </c>
      <c r="G426" s="2" t="s">
        <v>16</v>
      </c>
      <c r="H426" s="2">
        <v>5</v>
      </c>
      <c r="I426" s="2" t="s">
        <v>523</v>
      </c>
      <c r="J426" s="2" t="s">
        <v>524</v>
      </c>
      <c r="K426" s="2"/>
      <c r="L426" s="2" t="str">
        <f>IFERROR(VLOOKUP(IFERROR(VLOOKUP(C426,'Destination Alias'!$A:$B,2,FALSE()),C426),'Best Months'!$A:$B,2,FALSE()),"Not listed")</f>
        <v>Dec–Mar</v>
      </c>
    </row>
    <row r="427" spans="1:12" x14ac:dyDescent="0.3">
      <c r="A427" s="2" t="s">
        <v>522</v>
      </c>
      <c r="B427" s="2" t="s">
        <v>241</v>
      </c>
      <c r="C427" s="2" t="s">
        <v>163</v>
      </c>
      <c r="D427" s="3">
        <v>0.35416666666666702</v>
      </c>
      <c r="E427" s="3">
        <v>0.47916666666666702</v>
      </c>
      <c r="F427" s="2" t="s">
        <v>61</v>
      </c>
      <c r="G427" s="2" t="s">
        <v>16</v>
      </c>
      <c r="H427" s="2">
        <v>4</v>
      </c>
      <c r="I427" s="2" t="s">
        <v>523</v>
      </c>
      <c r="J427" s="2" t="s">
        <v>524</v>
      </c>
      <c r="K427" s="2"/>
      <c r="L427" s="2" t="str">
        <f>IFERROR(VLOOKUP(IFERROR(VLOOKUP(C427,'Destination Alias'!$A:$B,2,FALSE()),C427),'Best Months'!$A:$B,2,FALSE()),"Not listed")</f>
        <v>Dec–Mar</v>
      </c>
    </row>
    <row r="428" spans="1:12" x14ac:dyDescent="0.3">
      <c r="A428" s="2" t="s">
        <v>522</v>
      </c>
      <c r="B428" s="2" t="s">
        <v>241</v>
      </c>
      <c r="C428" s="2" t="s">
        <v>163</v>
      </c>
      <c r="D428" s="3">
        <v>0.39583333333333298</v>
      </c>
      <c r="E428" s="3">
        <v>0.52083333333333304</v>
      </c>
      <c r="F428" s="2" t="s">
        <v>61</v>
      </c>
      <c r="G428" s="2" t="s">
        <v>20</v>
      </c>
      <c r="H428" s="2">
        <v>4</v>
      </c>
      <c r="I428" s="2" t="s">
        <v>523</v>
      </c>
      <c r="J428" s="2" t="s">
        <v>524</v>
      </c>
      <c r="K428" s="2"/>
      <c r="L428" s="2" t="str">
        <f>IFERROR(VLOOKUP(IFERROR(VLOOKUP(C428,'Destination Alias'!$A:$B,2,FALSE()),C428),'Best Months'!$A:$B,2,FALSE()),"Not listed")</f>
        <v>Dec–Mar</v>
      </c>
    </row>
    <row r="429" spans="1:12" x14ac:dyDescent="0.3">
      <c r="A429" s="2" t="s">
        <v>522</v>
      </c>
      <c r="B429" s="2" t="s">
        <v>241</v>
      </c>
      <c r="C429" s="2" t="s">
        <v>163</v>
      </c>
      <c r="D429" s="3">
        <v>0.5</v>
      </c>
      <c r="E429" s="3">
        <v>0.625</v>
      </c>
      <c r="F429" s="2" t="s">
        <v>61</v>
      </c>
      <c r="G429" s="2" t="s">
        <v>220</v>
      </c>
      <c r="H429" s="2">
        <v>5</v>
      </c>
      <c r="I429" s="2" t="s">
        <v>523</v>
      </c>
      <c r="J429" s="2" t="s">
        <v>524</v>
      </c>
      <c r="K429" s="2"/>
      <c r="L429" s="2" t="str">
        <f>IFERROR(VLOOKUP(IFERROR(VLOOKUP(C429,'Destination Alias'!$A:$B,2,FALSE()),C429),'Best Months'!$A:$B,2,FALSE()),"Not listed")</f>
        <v>Dec–Mar</v>
      </c>
    </row>
    <row r="430" spans="1:12" x14ac:dyDescent="0.3">
      <c r="A430" s="2" t="s">
        <v>522</v>
      </c>
      <c r="B430" s="2" t="s">
        <v>241</v>
      </c>
      <c r="C430" s="2" t="s">
        <v>163</v>
      </c>
      <c r="D430" s="3">
        <v>0.625</v>
      </c>
      <c r="E430" s="3">
        <v>0.75</v>
      </c>
      <c r="F430" s="2" t="s">
        <v>61</v>
      </c>
      <c r="G430" s="2" t="s">
        <v>73</v>
      </c>
      <c r="H430" s="2">
        <v>5</v>
      </c>
      <c r="I430" s="2" t="s">
        <v>523</v>
      </c>
      <c r="J430" s="2" t="s">
        <v>524</v>
      </c>
      <c r="K430" s="2"/>
      <c r="L430" s="2" t="str">
        <f>IFERROR(VLOOKUP(IFERROR(VLOOKUP(C430,'Destination Alias'!$A:$B,2,FALSE()),C430),'Best Months'!$A:$B,2,FALSE()),"Not listed")</f>
        <v>Dec–Mar</v>
      </c>
    </row>
    <row r="431" spans="1:12" x14ac:dyDescent="0.3">
      <c r="A431" s="2" t="s">
        <v>522</v>
      </c>
      <c r="B431" s="2" t="s">
        <v>241</v>
      </c>
      <c r="C431" s="2" t="s">
        <v>163</v>
      </c>
      <c r="D431" s="3">
        <v>0.72916666666666696</v>
      </c>
      <c r="E431" s="3">
        <v>0.85416666666666696</v>
      </c>
      <c r="F431" s="2" t="s">
        <v>61</v>
      </c>
      <c r="G431" s="2" t="s">
        <v>52</v>
      </c>
      <c r="H431" s="2">
        <v>4</v>
      </c>
      <c r="I431" s="2" t="s">
        <v>523</v>
      </c>
      <c r="J431" s="2" t="s">
        <v>524</v>
      </c>
      <c r="K431" s="2"/>
      <c r="L431" s="2" t="str">
        <f>IFERROR(VLOOKUP(IFERROR(VLOOKUP(C431,'Destination Alias'!$A:$B,2,FALSE()),C431),'Best Months'!$A:$B,2,FALSE()),"Not listed")</f>
        <v>Dec–Mar</v>
      </c>
    </row>
    <row r="432" spans="1:12" x14ac:dyDescent="0.3">
      <c r="A432" s="2" t="s">
        <v>522</v>
      </c>
      <c r="B432" s="2" t="s">
        <v>241</v>
      </c>
      <c r="C432" s="2" t="s">
        <v>163</v>
      </c>
      <c r="D432" s="3">
        <v>0.73958333333333304</v>
      </c>
      <c r="E432" s="3">
        <v>0.86458333333333304</v>
      </c>
      <c r="F432" s="2" t="s">
        <v>61</v>
      </c>
      <c r="G432" s="2" t="s">
        <v>52</v>
      </c>
      <c r="H432" s="2">
        <v>5</v>
      </c>
      <c r="I432" s="2" t="s">
        <v>523</v>
      </c>
      <c r="J432" s="2" t="s">
        <v>524</v>
      </c>
      <c r="K432" s="2"/>
      <c r="L432" s="2" t="str">
        <f>IFERROR(VLOOKUP(IFERROR(VLOOKUP(C432,'Destination Alias'!$A:$B,2,FALSE()),C432),'Best Months'!$A:$B,2,FALSE()),"Not listed")</f>
        <v>Dec–Mar</v>
      </c>
    </row>
    <row r="433" spans="1:19" x14ac:dyDescent="0.3">
      <c r="A433" s="2" t="s">
        <v>522</v>
      </c>
      <c r="B433" s="2" t="s">
        <v>241</v>
      </c>
      <c r="C433" s="2" t="s">
        <v>163</v>
      </c>
      <c r="D433" s="3">
        <v>0.75</v>
      </c>
      <c r="E433" s="3">
        <v>0.875</v>
      </c>
      <c r="F433" s="2" t="s">
        <v>61</v>
      </c>
      <c r="G433" s="2" t="s">
        <v>102</v>
      </c>
      <c r="H433" s="2">
        <v>4</v>
      </c>
      <c r="I433" s="2" t="s">
        <v>523</v>
      </c>
      <c r="J433" s="2" t="s">
        <v>524</v>
      </c>
      <c r="K433" s="2"/>
      <c r="L433" s="2" t="str">
        <f>IFERROR(VLOOKUP(IFERROR(VLOOKUP(C433,'Destination Alias'!$A:$B,2,FALSE()),C433),'Best Months'!$A:$B,2,FALSE()),"Not listed")</f>
        <v>Dec–Mar</v>
      </c>
    </row>
    <row r="434" spans="1:19" x14ac:dyDescent="0.3">
      <c r="A434" s="2" t="s">
        <v>522</v>
      </c>
      <c r="B434" s="2" t="s">
        <v>241</v>
      </c>
      <c r="C434" s="2" t="s">
        <v>163</v>
      </c>
      <c r="D434" s="3">
        <v>0.91666666666666696</v>
      </c>
      <c r="E434" s="3">
        <v>4.1666666666666699E-2</v>
      </c>
      <c r="F434" s="2" t="s">
        <v>61</v>
      </c>
      <c r="G434" s="2" t="s">
        <v>380</v>
      </c>
      <c r="H434" s="2">
        <v>5</v>
      </c>
      <c r="I434" s="2" t="s">
        <v>523</v>
      </c>
      <c r="J434" s="2" t="s">
        <v>524</v>
      </c>
      <c r="K434" s="2"/>
      <c r="L434" s="2" t="str">
        <f>IFERROR(VLOOKUP(IFERROR(VLOOKUP(C434,'Destination Alias'!$A:$B,2,FALSE()),C434),'Best Months'!$A:$B,2,FALSE()),"Not listed")</f>
        <v>Dec–Mar</v>
      </c>
    </row>
    <row r="435" spans="1:19" x14ac:dyDescent="0.3">
      <c r="A435" s="2" t="s">
        <v>522</v>
      </c>
      <c r="B435" s="2" t="s">
        <v>241</v>
      </c>
      <c r="C435" s="2" t="s">
        <v>163</v>
      </c>
      <c r="D435" s="3">
        <v>0.33333333333333298</v>
      </c>
      <c r="E435" s="3">
        <v>0.45833333333333298</v>
      </c>
      <c r="F435" s="2" t="s">
        <v>61</v>
      </c>
      <c r="G435" s="2" t="s">
        <v>16</v>
      </c>
      <c r="H435" s="2">
        <v>4.2</v>
      </c>
      <c r="I435" s="2" t="s">
        <v>523</v>
      </c>
      <c r="J435" s="2" t="s">
        <v>524</v>
      </c>
      <c r="K435" s="2"/>
      <c r="L435" s="2" t="str">
        <f>IFERROR(VLOOKUP(IFERROR(VLOOKUP(C435,'Destination Alias'!$A:$B,2,FALSE()),C435),'Best Months'!$A:$B,2,FALSE()),"Not listed")</f>
        <v>Dec–Mar</v>
      </c>
    </row>
    <row r="436" spans="1:19" x14ac:dyDescent="0.3">
      <c r="A436" s="2" t="s">
        <v>525</v>
      </c>
      <c r="B436" s="2" t="s">
        <v>49</v>
      </c>
      <c r="C436" s="2" t="s">
        <v>14</v>
      </c>
      <c r="D436" s="3">
        <v>0.25</v>
      </c>
      <c r="E436" s="3">
        <v>0.41666666666666702</v>
      </c>
      <c r="F436" s="2" t="s">
        <v>129</v>
      </c>
      <c r="G436" s="2" t="s">
        <v>28</v>
      </c>
      <c r="H436" s="2">
        <v>4.7</v>
      </c>
      <c r="I436" s="2" t="s">
        <v>526</v>
      </c>
      <c r="J436" s="2" t="s">
        <v>527</v>
      </c>
      <c r="K436" s="4" t="s">
        <v>528</v>
      </c>
      <c r="L436" s="2" t="str">
        <f>IFERROR(VLOOKUP(IFERROR(VLOOKUP(C436,'Destination Alias'!$A:$B,2,FALSE()),C436),'Best Months'!$A:$B,2,FALSE()),"Not listed")</f>
        <v>Dec–Mar</v>
      </c>
      <c r="S436" t="s">
        <v>528</v>
      </c>
    </row>
    <row r="437" spans="1:19" x14ac:dyDescent="0.3">
      <c r="A437" s="2" t="s">
        <v>529</v>
      </c>
      <c r="B437" s="2" t="s">
        <v>22</v>
      </c>
      <c r="C437" s="2" t="s">
        <v>530</v>
      </c>
      <c r="D437" s="3">
        <v>0.33333333333333298</v>
      </c>
      <c r="E437" s="3">
        <v>0.39583333333333298</v>
      </c>
      <c r="F437" s="2" t="s">
        <v>15</v>
      </c>
      <c r="G437" s="2" t="s">
        <v>16</v>
      </c>
      <c r="H437" s="2">
        <v>4.5999999999999996</v>
      </c>
      <c r="I437" s="2" t="s">
        <v>531</v>
      </c>
      <c r="J437" s="2" t="s">
        <v>532</v>
      </c>
      <c r="K437" s="2"/>
      <c r="L437" s="2" t="str">
        <f>IFERROR(VLOOKUP(IFERROR(VLOOKUP(C437,'Destination Alias'!$A:$B,2,FALSE()),C437),'Best Months'!$A:$B,2,FALSE()),"Not listed")</f>
        <v>Jan–Mar, Jul–Sep</v>
      </c>
    </row>
    <row r="438" spans="1:19" x14ac:dyDescent="0.3">
      <c r="A438" s="2" t="s">
        <v>529</v>
      </c>
      <c r="B438" s="2" t="s">
        <v>22</v>
      </c>
      <c r="C438" s="2" t="s">
        <v>530</v>
      </c>
      <c r="D438" s="3">
        <v>0.39583333333333298</v>
      </c>
      <c r="E438" s="3">
        <v>0.45833333333333298</v>
      </c>
      <c r="F438" s="2" t="s">
        <v>15</v>
      </c>
      <c r="G438" s="2" t="s">
        <v>20</v>
      </c>
      <c r="H438" s="2">
        <v>4.5999999999999996</v>
      </c>
      <c r="I438" s="2" t="s">
        <v>531</v>
      </c>
      <c r="J438" s="2" t="s">
        <v>532</v>
      </c>
      <c r="K438" s="2"/>
      <c r="L438" s="2" t="str">
        <f>IFERROR(VLOOKUP(IFERROR(VLOOKUP(C438,'Destination Alias'!$A:$B,2,FALSE()),C438),'Best Months'!$A:$B,2,FALSE()),"Not listed")</f>
        <v>Jan–Mar, Jul–Sep</v>
      </c>
    </row>
    <row r="439" spans="1:19" x14ac:dyDescent="0.3">
      <c r="A439" s="2" t="s">
        <v>533</v>
      </c>
      <c r="B439" s="2" t="s">
        <v>241</v>
      </c>
      <c r="C439" s="2" t="s">
        <v>534</v>
      </c>
      <c r="D439" s="3">
        <v>0.27083333333333298</v>
      </c>
      <c r="E439" s="3">
        <v>0.35416666666666702</v>
      </c>
      <c r="F439" s="2" t="s">
        <v>51</v>
      </c>
      <c r="G439" s="2" t="s">
        <v>28</v>
      </c>
      <c r="H439" s="2">
        <v>4</v>
      </c>
      <c r="I439" s="2" t="s">
        <v>535</v>
      </c>
      <c r="J439" s="2" t="s">
        <v>536</v>
      </c>
      <c r="K439" s="2"/>
      <c r="L439" s="2" t="str">
        <f>IFERROR(VLOOKUP(IFERROR(VLOOKUP(C439,'Destination Alias'!$A:$B,2,FALSE()),C439),'Best Months'!$A:$B,2,FALSE()),"Not listed")</f>
        <v>Jan–Mar</v>
      </c>
    </row>
    <row r="440" spans="1:19" x14ac:dyDescent="0.3">
      <c r="A440" s="2" t="s">
        <v>537</v>
      </c>
      <c r="B440" s="2" t="s">
        <v>241</v>
      </c>
      <c r="C440" s="2" t="s">
        <v>163</v>
      </c>
      <c r="D440" s="3">
        <v>0.29166666666666702</v>
      </c>
      <c r="E440" s="3">
        <v>0.33333333333333298</v>
      </c>
      <c r="F440" s="2" t="s">
        <v>35</v>
      </c>
      <c r="G440" s="2" t="s">
        <v>38</v>
      </c>
      <c r="H440" s="2">
        <v>4.2</v>
      </c>
      <c r="I440" s="2" t="s">
        <v>538</v>
      </c>
      <c r="J440" s="2" t="s">
        <v>539</v>
      </c>
      <c r="K440" s="2"/>
      <c r="L440" s="2" t="str">
        <f>IFERROR(VLOOKUP(IFERROR(VLOOKUP(C440,'Destination Alias'!$A:$B,2,FALSE()),C440),'Best Months'!$A:$B,2,FALSE()),"Not listed")</f>
        <v>Dec–Mar</v>
      </c>
    </row>
    <row r="441" spans="1:19" x14ac:dyDescent="0.3">
      <c r="A441" s="2" t="s">
        <v>537</v>
      </c>
      <c r="B441" s="2" t="s">
        <v>241</v>
      </c>
      <c r="C441" s="2" t="s">
        <v>163</v>
      </c>
      <c r="D441" s="3">
        <v>0.33333333333333298</v>
      </c>
      <c r="E441" s="3">
        <v>0.375</v>
      </c>
      <c r="F441" s="2" t="s">
        <v>35</v>
      </c>
      <c r="G441" s="2" t="s">
        <v>16</v>
      </c>
      <c r="H441" s="2">
        <v>4.2</v>
      </c>
      <c r="I441" s="2" t="s">
        <v>538</v>
      </c>
      <c r="J441" s="2" t="s">
        <v>539</v>
      </c>
      <c r="K441" s="2"/>
      <c r="L441" s="2" t="str">
        <f>IFERROR(VLOOKUP(IFERROR(VLOOKUP(C441,'Destination Alias'!$A:$B,2,FALSE()),C441),'Best Months'!$A:$B,2,FALSE()),"Not listed")</f>
        <v>Dec–Mar</v>
      </c>
    </row>
    <row r="442" spans="1:19" x14ac:dyDescent="0.3">
      <c r="A442" s="2" t="s">
        <v>537</v>
      </c>
      <c r="B442" s="2" t="s">
        <v>241</v>
      </c>
      <c r="C442" s="2" t="s">
        <v>163</v>
      </c>
      <c r="D442" s="3">
        <v>0.375</v>
      </c>
      <c r="E442" s="3">
        <v>0.41666666666666702</v>
      </c>
      <c r="F442" s="2" t="s">
        <v>35</v>
      </c>
      <c r="G442" s="2" t="s">
        <v>20</v>
      </c>
      <c r="H442" s="2">
        <v>4.2</v>
      </c>
      <c r="I442" s="2" t="s">
        <v>538</v>
      </c>
      <c r="J442" s="2" t="s">
        <v>539</v>
      </c>
      <c r="K442" s="2"/>
      <c r="L442" s="2" t="str">
        <f>IFERROR(VLOOKUP(IFERROR(VLOOKUP(C442,'Destination Alias'!$A:$B,2,FALSE()),C442),'Best Months'!$A:$B,2,FALSE()),"Not listed")</f>
        <v>Dec–Mar</v>
      </c>
    </row>
    <row r="443" spans="1:19" x14ac:dyDescent="0.3">
      <c r="A443" s="2" t="s">
        <v>540</v>
      </c>
      <c r="B443" s="2" t="s">
        <v>49</v>
      </c>
      <c r="C443" s="2" t="s">
        <v>213</v>
      </c>
      <c r="D443" s="3">
        <v>0.33333333333333298</v>
      </c>
      <c r="E443" s="3">
        <v>0.45833333333333298</v>
      </c>
      <c r="F443" s="2" t="s">
        <v>61</v>
      </c>
      <c r="G443" s="2" t="s">
        <v>16</v>
      </c>
      <c r="H443" s="2">
        <v>4.2</v>
      </c>
      <c r="I443" s="2" t="s">
        <v>541</v>
      </c>
      <c r="J443" s="2" t="s">
        <v>542</v>
      </c>
      <c r="K443" s="4" t="s">
        <v>543</v>
      </c>
      <c r="L443" s="2" t="str">
        <f>IFERROR(VLOOKUP(IFERROR(VLOOKUP(C443,'Destination Alias'!$A:$B,2,FALSE()),C443),'Best Months'!$A:$B,2,FALSE()),"Not listed")</f>
        <v>Jan–Mar</v>
      </c>
      <c r="S443" t="s">
        <v>543</v>
      </c>
    </row>
    <row r="444" spans="1:19" x14ac:dyDescent="0.3">
      <c r="A444" s="2" t="s">
        <v>544</v>
      </c>
      <c r="B444" s="2" t="s">
        <v>241</v>
      </c>
      <c r="C444" s="2" t="s">
        <v>545</v>
      </c>
      <c r="D444" s="3">
        <v>0.25</v>
      </c>
      <c r="E444" s="3">
        <v>0.45833333333333298</v>
      </c>
      <c r="F444" s="2" t="s">
        <v>546</v>
      </c>
      <c r="G444" s="2" t="s">
        <v>28</v>
      </c>
      <c r="H444" s="2">
        <v>4.0999999999999996</v>
      </c>
      <c r="I444" s="2" t="s">
        <v>547</v>
      </c>
      <c r="J444" s="2" t="s">
        <v>548</v>
      </c>
      <c r="K444" s="2"/>
      <c r="L444" s="2" t="str">
        <f>IFERROR(VLOOKUP(IFERROR(VLOOKUP(C444,'Destination Alias'!$A:$B,2,FALSE()),C444),'Best Months'!$A:$B,2,FALSE()),"Not listed")</f>
        <v>Dec–Mar</v>
      </c>
    </row>
    <row r="445" spans="1:19" x14ac:dyDescent="0.3">
      <c r="A445" s="2" t="s">
        <v>549</v>
      </c>
      <c r="B445" s="2" t="s">
        <v>22</v>
      </c>
      <c r="C445" s="2" t="s">
        <v>123</v>
      </c>
      <c r="D445" s="3">
        <v>0.27083333333333298</v>
      </c>
      <c r="E445" s="3">
        <v>0.3125</v>
      </c>
      <c r="F445" s="2" t="s">
        <v>35</v>
      </c>
      <c r="G445" s="2" t="s">
        <v>28</v>
      </c>
      <c r="H445" s="2">
        <v>4.5999999999999996</v>
      </c>
      <c r="I445" s="2" t="s">
        <v>550</v>
      </c>
      <c r="J445" s="2" t="s">
        <v>551</v>
      </c>
      <c r="K445" s="2"/>
      <c r="L445" s="2" t="str">
        <f>IFERROR(VLOOKUP(IFERROR(VLOOKUP(C445,'Destination Alias'!$A:$B,2,FALSE()),C445),'Best Months'!$A:$B,2,FALSE()),"Not listed")</f>
        <v>Dec–Mar</v>
      </c>
    </row>
    <row r="446" spans="1:19" x14ac:dyDescent="0.3">
      <c r="A446" s="2" t="s">
        <v>549</v>
      </c>
      <c r="B446" s="2" t="s">
        <v>22</v>
      </c>
      <c r="C446" s="2" t="s">
        <v>123</v>
      </c>
      <c r="D446" s="3">
        <v>0.3125</v>
      </c>
      <c r="E446" s="3">
        <v>0.35416666666666702</v>
      </c>
      <c r="F446" s="2" t="s">
        <v>35</v>
      </c>
      <c r="G446" s="2" t="s">
        <v>38</v>
      </c>
      <c r="H446" s="2">
        <v>4.5999999999999996</v>
      </c>
      <c r="I446" s="2" t="s">
        <v>550</v>
      </c>
      <c r="J446" s="2" t="s">
        <v>551</v>
      </c>
      <c r="K446" s="2"/>
      <c r="L446" s="2" t="str">
        <f>IFERROR(VLOOKUP(IFERROR(VLOOKUP(C446,'Destination Alias'!$A:$B,2,FALSE()),C446),'Best Months'!$A:$B,2,FALSE()),"Not listed")</f>
        <v>Dec–Mar</v>
      </c>
    </row>
    <row r="447" spans="1:19" x14ac:dyDescent="0.3">
      <c r="A447" s="2" t="s">
        <v>549</v>
      </c>
      <c r="B447" s="2" t="s">
        <v>22</v>
      </c>
      <c r="C447" s="2" t="s">
        <v>123</v>
      </c>
      <c r="D447" s="3">
        <v>0.35416666666666702</v>
      </c>
      <c r="E447" s="3">
        <v>0.39583333333333298</v>
      </c>
      <c r="F447" s="2" t="s">
        <v>35</v>
      </c>
      <c r="G447" s="2" t="s">
        <v>16</v>
      </c>
      <c r="H447" s="2">
        <v>4.5999999999999996</v>
      </c>
      <c r="I447" s="2" t="s">
        <v>550</v>
      </c>
      <c r="J447" s="2" t="s">
        <v>551</v>
      </c>
      <c r="K447" s="2"/>
      <c r="L447" s="2" t="str">
        <f>IFERROR(VLOOKUP(IFERROR(VLOOKUP(C447,'Destination Alias'!$A:$B,2,FALSE()),C447),'Best Months'!$A:$B,2,FALSE()),"Not listed")</f>
        <v>Dec–Mar</v>
      </c>
    </row>
    <row r="448" spans="1:19" x14ac:dyDescent="0.3">
      <c r="A448" s="2" t="s">
        <v>552</v>
      </c>
      <c r="B448" s="2" t="s">
        <v>49</v>
      </c>
      <c r="C448" s="2" t="s">
        <v>123</v>
      </c>
      <c r="D448" s="3">
        <v>0.75</v>
      </c>
      <c r="E448" s="3">
        <v>0.78125</v>
      </c>
      <c r="F448" s="2" t="s">
        <v>90</v>
      </c>
      <c r="G448" s="2" t="s">
        <v>102</v>
      </c>
      <c r="H448" s="2">
        <v>4.5</v>
      </c>
      <c r="I448" s="2" t="s">
        <v>553</v>
      </c>
      <c r="J448" s="2" t="s">
        <v>554</v>
      </c>
      <c r="K448" s="4" t="s">
        <v>555</v>
      </c>
      <c r="L448" s="2" t="str">
        <f>IFERROR(VLOOKUP(IFERROR(VLOOKUP(C448,'Destination Alias'!$A:$B,2,FALSE()),C448),'Best Months'!$A:$B,2,FALSE()),"Not listed")</f>
        <v>Dec–Mar</v>
      </c>
      <c r="S448" t="s">
        <v>555</v>
      </c>
    </row>
    <row r="449" spans="1:19" x14ac:dyDescent="0.3">
      <c r="A449" s="2" t="s">
        <v>552</v>
      </c>
      <c r="B449" s="2" t="s">
        <v>49</v>
      </c>
      <c r="C449" s="2" t="s">
        <v>123</v>
      </c>
      <c r="D449" s="3">
        <v>0.78125</v>
      </c>
      <c r="E449" s="3">
        <v>0.8125</v>
      </c>
      <c r="F449" s="2" t="s">
        <v>90</v>
      </c>
      <c r="G449" s="2" t="s">
        <v>102</v>
      </c>
      <c r="H449" s="2">
        <v>4.5</v>
      </c>
      <c r="I449" s="2" t="s">
        <v>553</v>
      </c>
      <c r="J449" s="2" t="s">
        <v>554</v>
      </c>
      <c r="K449" s="4" t="s">
        <v>555</v>
      </c>
      <c r="L449" s="2" t="str">
        <f>IFERROR(VLOOKUP(IFERROR(VLOOKUP(C449,'Destination Alias'!$A:$B,2,FALSE()),C449),'Best Months'!$A:$B,2,FALSE()),"Not listed")</f>
        <v>Dec–Mar</v>
      </c>
      <c r="S449" t="s">
        <v>555</v>
      </c>
    </row>
    <row r="450" spans="1:19" x14ac:dyDescent="0.3">
      <c r="A450" s="2" t="s">
        <v>552</v>
      </c>
      <c r="B450" s="2" t="s">
        <v>49</v>
      </c>
      <c r="C450" s="2" t="s">
        <v>123</v>
      </c>
      <c r="D450" s="3">
        <v>0.8125</v>
      </c>
      <c r="E450" s="3">
        <v>0.84375</v>
      </c>
      <c r="F450" s="2" t="s">
        <v>90</v>
      </c>
      <c r="G450" s="2" t="s">
        <v>380</v>
      </c>
      <c r="H450" s="2">
        <v>4.5</v>
      </c>
      <c r="I450" s="2" t="s">
        <v>553</v>
      </c>
      <c r="J450" s="2" t="s">
        <v>554</v>
      </c>
      <c r="K450" s="4" t="s">
        <v>555</v>
      </c>
      <c r="L450" s="2" t="str">
        <f>IFERROR(VLOOKUP(IFERROR(VLOOKUP(C450,'Destination Alias'!$A:$B,2,FALSE()),C450),'Best Months'!$A:$B,2,FALSE()),"Not listed")</f>
        <v>Dec–Mar</v>
      </c>
      <c r="S450" t="s">
        <v>555</v>
      </c>
    </row>
    <row r="451" spans="1:19" x14ac:dyDescent="0.3">
      <c r="A451" s="2" t="s">
        <v>556</v>
      </c>
      <c r="B451" s="2" t="s">
        <v>22</v>
      </c>
      <c r="C451" s="2" t="s">
        <v>123</v>
      </c>
      <c r="D451" s="3">
        <v>0.75</v>
      </c>
      <c r="E451" s="3">
        <v>0.78125</v>
      </c>
      <c r="F451" s="2" t="s">
        <v>90</v>
      </c>
      <c r="G451" s="2" t="s">
        <v>102</v>
      </c>
      <c r="H451" s="2">
        <v>4.5999999999999996</v>
      </c>
      <c r="I451" s="2" t="s">
        <v>557</v>
      </c>
      <c r="J451" s="2" t="s">
        <v>558</v>
      </c>
      <c r="K451" s="2"/>
      <c r="L451" s="2" t="str">
        <f>IFERROR(VLOOKUP(IFERROR(VLOOKUP(C451,'Destination Alias'!$A:$B,2,FALSE()),C451),'Best Months'!$A:$B,2,FALSE()),"Not listed")</f>
        <v>Dec–Mar</v>
      </c>
    </row>
    <row r="452" spans="1:19" x14ac:dyDescent="0.3">
      <c r="A452" s="2" t="s">
        <v>556</v>
      </c>
      <c r="B452" s="2" t="s">
        <v>22</v>
      </c>
      <c r="C452" s="2" t="s">
        <v>123</v>
      </c>
      <c r="D452" s="3">
        <v>0.78125</v>
      </c>
      <c r="E452" s="3">
        <v>0.8125</v>
      </c>
      <c r="F452" s="2" t="s">
        <v>90</v>
      </c>
      <c r="G452" s="2" t="s">
        <v>102</v>
      </c>
      <c r="H452" s="2">
        <v>4.5999999999999996</v>
      </c>
      <c r="I452" s="2" t="s">
        <v>557</v>
      </c>
      <c r="J452" s="2" t="s">
        <v>558</v>
      </c>
      <c r="K452" s="2"/>
      <c r="L452" s="2" t="str">
        <f>IFERROR(VLOOKUP(IFERROR(VLOOKUP(C452,'Destination Alias'!$A:$B,2,FALSE()),C452),'Best Months'!$A:$B,2,FALSE()),"Not listed")</f>
        <v>Dec–Mar</v>
      </c>
    </row>
    <row r="453" spans="1:19" x14ac:dyDescent="0.3">
      <c r="A453" s="2" t="s">
        <v>556</v>
      </c>
      <c r="B453" s="2" t="s">
        <v>22</v>
      </c>
      <c r="C453" s="2" t="s">
        <v>123</v>
      </c>
      <c r="D453" s="3">
        <v>0.8125</v>
      </c>
      <c r="E453" s="3">
        <v>0.84375</v>
      </c>
      <c r="F453" s="2" t="s">
        <v>90</v>
      </c>
      <c r="G453" s="2" t="s">
        <v>380</v>
      </c>
      <c r="H453" s="2">
        <v>4.5999999999999996</v>
      </c>
      <c r="I453" s="2" t="s">
        <v>557</v>
      </c>
      <c r="J453" s="2" t="s">
        <v>558</v>
      </c>
      <c r="K453" s="2"/>
      <c r="L453" s="2" t="str">
        <f>IFERROR(VLOOKUP(IFERROR(VLOOKUP(C453,'Destination Alias'!$A:$B,2,FALSE()),C453),'Best Months'!$A:$B,2,FALSE()),"Not listed")</f>
        <v>Dec–Mar</v>
      </c>
    </row>
    <row r="454" spans="1:19" x14ac:dyDescent="0.3">
      <c r="A454" s="2" t="s">
        <v>559</v>
      </c>
      <c r="B454" s="2" t="s">
        <v>13</v>
      </c>
      <c r="C454" s="2" t="s">
        <v>108</v>
      </c>
      <c r="D454" s="3">
        <v>0.33333333333333298</v>
      </c>
      <c r="E454" s="3">
        <v>0.39583333333333298</v>
      </c>
      <c r="F454" s="2" t="s">
        <v>15</v>
      </c>
      <c r="G454" s="2" t="s">
        <v>16</v>
      </c>
      <c r="H454" s="2">
        <v>4</v>
      </c>
      <c r="I454" s="2" t="s">
        <v>17</v>
      </c>
      <c r="J454" s="2" t="s">
        <v>560</v>
      </c>
      <c r="K454" s="4" t="s">
        <v>561</v>
      </c>
      <c r="L454" s="2" t="str">
        <f>IFERROR(VLOOKUP(IFERROR(VLOOKUP(C454,'Destination Alias'!$A:$B,2,FALSE()),C454),'Best Months'!$A:$B,2,FALSE()),"Not listed")</f>
        <v>Jan–Mar, Jul–Aug</v>
      </c>
      <c r="S454" t="s">
        <v>561</v>
      </c>
    </row>
    <row r="455" spans="1:19" x14ac:dyDescent="0.3">
      <c r="A455" s="2" t="s">
        <v>559</v>
      </c>
      <c r="B455" s="2" t="s">
        <v>13</v>
      </c>
      <c r="C455" s="2" t="s">
        <v>108</v>
      </c>
      <c r="D455" s="3">
        <v>0.39583333333333298</v>
      </c>
      <c r="E455" s="3">
        <v>0.45833333333333298</v>
      </c>
      <c r="F455" s="2" t="s">
        <v>15</v>
      </c>
      <c r="G455" s="2" t="s">
        <v>20</v>
      </c>
      <c r="H455" s="2">
        <v>4</v>
      </c>
      <c r="I455" s="2" t="s">
        <v>17</v>
      </c>
      <c r="J455" s="2" t="s">
        <v>560</v>
      </c>
      <c r="K455" s="4" t="s">
        <v>561</v>
      </c>
      <c r="L455" s="2" t="str">
        <f>IFERROR(VLOOKUP(IFERROR(VLOOKUP(C455,'Destination Alias'!$A:$B,2,FALSE()),C455),'Best Months'!$A:$B,2,FALSE()),"Not listed")</f>
        <v>Jan–Mar, Jul–Aug</v>
      </c>
      <c r="S455" t="s">
        <v>561</v>
      </c>
    </row>
    <row r="456" spans="1:19" x14ac:dyDescent="0.3">
      <c r="A456" s="2" t="s">
        <v>562</v>
      </c>
      <c r="B456" s="2" t="s">
        <v>22</v>
      </c>
      <c r="C456" s="2" t="s">
        <v>562</v>
      </c>
      <c r="D456" s="3">
        <v>0.75</v>
      </c>
      <c r="E456" s="3">
        <v>0.875</v>
      </c>
      <c r="F456" s="2" t="s">
        <v>61</v>
      </c>
      <c r="G456" s="2" t="s">
        <v>102</v>
      </c>
      <c r="H456" s="2">
        <v>3</v>
      </c>
      <c r="I456" s="2" t="s">
        <v>563</v>
      </c>
      <c r="J456" s="2" t="s">
        <v>564</v>
      </c>
      <c r="K456" s="2"/>
      <c r="L456" s="2" t="str">
        <f>IFERROR(VLOOKUP(IFERROR(VLOOKUP(C456,'Destination Alias'!$A:$B,2,FALSE()),C456),'Best Months'!$A:$B,2,FALSE()),"Not listed")</f>
        <v>Jul–Aug</v>
      </c>
    </row>
    <row r="457" spans="1:19" x14ac:dyDescent="0.3">
      <c r="A457" s="2" t="s">
        <v>562</v>
      </c>
      <c r="B457" s="2" t="s">
        <v>22</v>
      </c>
      <c r="C457" s="2" t="s">
        <v>562</v>
      </c>
      <c r="D457" s="3">
        <v>0.75</v>
      </c>
      <c r="E457" s="3">
        <v>0.875</v>
      </c>
      <c r="F457" s="2" t="s">
        <v>61</v>
      </c>
      <c r="G457" s="2" t="s">
        <v>102</v>
      </c>
      <c r="H457" s="2">
        <v>4.3</v>
      </c>
      <c r="I457" s="2" t="s">
        <v>563</v>
      </c>
      <c r="J457" s="2" t="s">
        <v>564</v>
      </c>
      <c r="K457" s="2"/>
      <c r="L457" s="2" t="str">
        <f>IFERROR(VLOOKUP(IFERROR(VLOOKUP(C457,'Destination Alias'!$A:$B,2,FALSE()),C457),'Best Months'!$A:$B,2,FALSE()),"Not listed")</f>
        <v>Jul–Aug</v>
      </c>
    </row>
    <row r="458" spans="1:19" x14ac:dyDescent="0.3">
      <c r="A458" s="2" t="s">
        <v>562</v>
      </c>
      <c r="B458" s="2" t="s">
        <v>22</v>
      </c>
      <c r="C458" s="2" t="s">
        <v>562</v>
      </c>
      <c r="D458" s="3">
        <v>0.75</v>
      </c>
      <c r="E458" s="3">
        <v>0.875</v>
      </c>
      <c r="F458" s="2" t="s">
        <v>61</v>
      </c>
      <c r="G458" s="2" t="s">
        <v>102</v>
      </c>
      <c r="H458" s="2">
        <v>5</v>
      </c>
      <c r="I458" s="2" t="s">
        <v>563</v>
      </c>
      <c r="J458" s="2" t="s">
        <v>564</v>
      </c>
      <c r="K458" s="2"/>
      <c r="L458" s="2" t="str">
        <f>IFERROR(VLOOKUP(IFERROR(VLOOKUP(C458,'Destination Alias'!$A:$B,2,FALSE()),C458),'Best Months'!$A:$B,2,FALSE()),"Not listed")</f>
        <v>Jul–Aug</v>
      </c>
    </row>
    <row r="459" spans="1:19" x14ac:dyDescent="0.3">
      <c r="A459" s="2" t="s">
        <v>562</v>
      </c>
      <c r="B459" s="2" t="s">
        <v>22</v>
      </c>
      <c r="C459" s="2" t="s">
        <v>562</v>
      </c>
      <c r="D459" s="3">
        <v>0.1875</v>
      </c>
      <c r="E459" s="3">
        <v>0.22916666666666699</v>
      </c>
      <c r="F459" s="2" t="s">
        <v>61</v>
      </c>
      <c r="G459" s="2" t="s">
        <v>52</v>
      </c>
      <c r="H459" s="2">
        <v>4.3</v>
      </c>
      <c r="I459" s="2" t="s">
        <v>563</v>
      </c>
      <c r="J459" s="2" t="s">
        <v>564</v>
      </c>
      <c r="K459" s="2"/>
      <c r="L459" s="2" t="str">
        <f>IFERROR(VLOOKUP(IFERROR(VLOOKUP(C459,'Destination Alias'!$A:$B,2,FALSE()),C459),'Best Months'!$A:$B,2,FALSE()),"Not listed")</f>
        <v>Jul–Aug</v>
      </c>
    </row>
    <row r="460" spans="1:19" x14ac:dyDescent="0.3">
      <c r="A460" s="2" t="s">
        <v>562</v>
      </c>
      <c r="B460" s="2" t="s">
        <v>22</v>
      </c>
      <c r="C460" s="2" t="s">
        <v>562</v>
      </c>
      <c r="D460" s="3">
        <v>0.4375</v>
      </c>
      <c r="E460" s="3">
        <v>0.47916666666666702</v>
      </c>
      <c r="F460" s="2" t="s">
        <v>61</v>
      </c>
      <c r="G460" s="2" t="s">
        <v>20</v>
      </c>
      <c r="H460" s="2">
        <v>4.3</v>
      </c>
      <c r="I460" s="2" t="s">
        <v>563</v>
      </c>
      <c r="J460" s="2" t="s">
        <v>564</v>
      </c>
      <c r="K460" s="2"/>
      <c r="L460" s="2" t="str">
        <f>IFERROR(VLOOKUP(IFERROR(VLOOKUP(C460,'Destination Alias'!$A:$B,2,FALSE()),C460),'Best Months'!$A:$B,2,FALSE()),"Not listed")</f>
        <v>Jul–Aug</v>
      </c>
    </row>
    <row r="461" spans="1:19" x14ac:dyDescent="0.3">
      <c r="A461" s="2" t="s">
        <v>562</v>
      </c>
      <c r="B461" s="2" t="s">
        <v>22</v>
      </c>
      <c r="C461" s="2" t="s">
        <v>562</v>
      </c>
      <c r="D461" s="3">
        <v>0.77083333333333304</v>
      </c>
      <c r="E461" s="3">
        <v>0.8125</v>
      </c>
      <c r="F461" s="2" t="s">
        <v>61</v>
      </c>
      <c r="G461" s="2" t="s">
        <v>102</v>
      </c>
      <c r="H461" s="2">
        <v>4.3</v>
      </c>
      <c r="I461" s="2" t="s">
        <v>563</v>
      </c>
      <c r="J461" s="2" t="s">
        <v>564</v>
      </c>
      <c r="K461" s="2"/>
      <c r="L461" s="2" t="str">
        <f>IFERROR(VLOOKUP(IFERROR(VLOOKUP(C461,'Destination Alias'!$A:$B,2,FALSE()),C461),'Best Months'!$A:$B,2,FALSE()),"Not listed")</f>
        <v>Jul–Aug</v>
      </c>
    </row>
    <row r="462" spans="1:19" x14ac:dyDescent="0.3">
      <c r="A462" s="2" t="s">
        <v>562</v>
      </c>
      <c r="B462" s="2" t="s">
        <v>22</v>
      </c>
      <c r="C462" s="2" t="s">
        <v>562</v>
      </c>
      <c r="D462" s="3">
        <v>0.72916666666666696</v>
      </c>
      <c r="E462" s="3">
        <v>0.85416666666666696</v>
      </c>
      <c r="F462" s="2" t="s">
        <v>61</v>
      </c>
      <c r="G462" s="2" t="s">
        <v>52</v>
      </c>
      <c r="H462" s="2">
        <v>4.3</v>
      </c>
      <c r="I462" s="2" t="s">
        <v>563</v>
      </c>
      <c r="J462" s="2" t="s">
        <v>564</v>
      </c>
      <c r="K462" s="2"/>
      <c r="L462" s="2" t="str">
        <f>IFERROR(VLOOKUP(IFERROR(VLOOKUP(C462,'Destination Alias'!$A:$B,2,FALSE()),C462),'Best Months'!$A:$B,2,FALSE()),"Not listed")</f>
        <v>Jul–Aug</v>
      </c>
    </row>
    <row r="463" spans="1:19" x14ac:dyDescent="0.3">
      <c r="A463" s="2" t="s">
        <v>565</v>
      </c>
      <c r="B463" s="2" t="s">
        <v>22</v>
      </c>
      <c r="C463" s="2" t="s">
        <v>50</v>
      </c>
      <c r="D463" s="3">
        <v>0.72916666666666696</v>
      </c>
      <c r="E463" s="3">
        <v>0.77083333333333304</v>
      </c>
      <c r="F463" s="2" t="s">
        <v>35</v>
      </c>
      <c r="G463" s="2" t="s">
        <v>52</v>
      </c>
      <c r="H463" s="2">
        <v>4.5999999999999996</v>
      </c>
      <c r="I463" s="2" t="s">
        <v>566</v>
      </c>
      <c r="J463" s="2" t="s">
        <v>567</v>
      </c>
      <c r="K463" s="2" t="s">
        <v>568</v>
      </c>
      <c r="L463" s="2" t="str">
        <f>IFERROR(VLOOKUP(IFERROR(VLOOKUP(C463,'Destination Alias'!$A:$B,2,FALSE()),C463),'Best Months'!$A:$B,2,FALSE()),"Not listed")</f>
        <v>Dec–Mar</v>
      </c>
    </row>
    <row r="464" spans="1:19" x14ac:dyDescent="0.3">
      <c r="A464" s="2" t="s">
        <v>565</v>
      </c>
      <c r="B464" s="2" t="s">
        <v>22</v>
      </c>
      <c r="C464" s="2" t="s">
        <v>50</v>
      </c>
      <c r="D464" s="3">
        <v>0.77083333333333304</v>
      </c>
      <c r="E464" s="3">
        <v>0.8125</v>
      </c>
      <c r="F464" s="2" t="s">
        <v>35</v>
      </c>
      <c r="G464" s="2" t="s">
        <v>102</v>
      </c>
      <c r="H464" s="2">
        <v>4.5999999999999996</v>
      </c>
      <c r="I464" s="2" t="s">
        <v>566</v>
      </c>
      <c r="J464" s="2" t="s">
        <v>567</v>
      </c>
      <c r="K464" s="2" t="s">
        <v>568</v>
      </c>
      <c r="L464" s="2" t="str">
        <f>IFERROR(VLOOKUP(IFERROR(VLOOKUP(C464,'Destination Alias'!$A:$B,2,FALSE()),C464),'Best Months'!$A:$B,2,FALSE()),"Not listed")</f>
        <v>Dec–Mar</v>
      </c>
    </row>
    <row r="465" spans="1:19" x14ac:dyDescent="0.3">
      <c r="A465" s="2" t="s">
        <v>569</v>
      </c>
      <c r="B465" s="2" t="s">
        <v>13</v>
      </c>
      <c r="C465" s="2" t="s">
        <v>137</v>
      </c>
      <c r="D465" s="3">
        <v>0.33333333333333298</v>
      </c>
      <c r="E465" s="3">
        <v>0.375</v>
      </c>
      <c r="F465" s="2" t="s">
        <v>35</v>
      </c>
      <c r="G465" s="2" t="s">
        <v>16</v>
      </c>
      <c r="H465" s="2">
        <v>4.2</v>
      </c>
      <c r="I465" s="2" t="s">
        <v>570</v>
      </c>
      <c r="J465" s="2" t="s">
        <v>571</v>
      </c>
      <c r="K465" s="4" t="s">
        <v>572</v>
      </c>
      <c r="L465" s="2" t="str">
        <f>IFERROR(VLOOKUP(IFERROR(VLOOKUP(C465,'Destination Alias'!$A:$B,2,FALSE()),C465),'Best Months'!$A:$B,2,FALSE()),"Not listed")</f>
        <v>Jan–Mar</v>
      </c>
      <c r="S465" t="s">
        <v>572</v>
      </c>
    </row>
    <row r="466" spans="1:19" x14ac:dyDescent="0.3">
      <c r="A466" s="2" t="s">
        <v>569</v>
      </c>
      <c r="B466" s="2" t="s">
        <v>13</v>
      </c>
      <c r="C466" s="2" t="s">
        <v>137</v>
      </c>
      <c r="D466" s="3">
        <v>0.375</v>
      </c>
      <c r="E466" s="3">
        <v>0.41666666666666702</v>
      </c>
      <c r="F466" s="2" t="s">
        <v>35</v>
      </c>
      <c r="G466" s="2" t="s">
        <v>20</v>
      </c>
      <c r="H466" s="2">
        <v>4.2</v>
      </c>
      <c r="I466" s="2" t="s">
        <v>570</v>
      </c>
      <c r="J466" s="2" t="s">
        <v>571</v>
      </c>
      <c r="K466" s="4" t="s">
        <v>572</v>
      </c>
      <c r="L466" s="2" t="str">
        <f>IFERROR(VLOOKUP(IFERROR(VLOOKUP(C466,'Destination Alias'!$A:$B,2,FALSE()),C466),'Best Months'!$A:$B,2,FALSE()),"Not listed")</f>
        <v>Jan–Mar</v>
      </c>
      <c r="S466" t="s">
        <v>572</v>
      </c>
    </row>
    <row r="467" spans="1:19" x14ac:dyDescent="0.3">
      <c r="A467" s="2" t="s">
        <v>569</v>
      </c>
      <c r="B467" s="2" t="s">
        <v>13</v>
      </c>
      <c r="C467" s="2" t="s">
        <v>137</v>
      </c>
      <c r="D467" s="3">
        <v>0.41666666666666702</v>
      </c>
      <c r="E467" s="3">
        <v>0.45833333333333298</v>
      </c>
      <c r="F467" s="2" t="s">
        <v>35</v>
      </c>
      <c r="G467" s="2" t="s">
        <v>20</v>
      </c>
      <c r="H467" s="2">
        <v>4.2</v>
      </c>
      <c r="I467" s="2" t="s">
        <v>570</v>
      </c>
      <c r="J467" s="2" t="s">
        <v>571</v>
      </c>
      <c r="K467" s="4" t="s">
        <v>572</v>
      </c>
      <c r="L467" s="2" t="str">
        <f>IFERROR(VLOOKUP(IFERROR(VLOOKUP(C467,'Destination Alias'!$A:$B,2,FALSE()),C467),'Best Months'!$A:$B,2,FALSE()),"Not listed")</f>
        <v>Jan–Mar</v>
      </c>
      <c r="S467" t="s">
        <v>572</v>
      </c>
    </row>
    <row r="468" spans="1:19" x14ac:dyDescent="0.3">
      <c r="A468" s="2" t="s">
        <v>573</v>
      </c>
      <c r="B468" s="2" t="s">
        <v>49</v>
      </c>
      <c r="C468" s="2" t="s">
        <v>50</v>
      </c>
      <c r="D468" s="3">
        <v>0.33333333333333298</v>
      </c>
      <c r="E468" s="3">
        <v>0.34722222222222199</v>
      </c>
      <c r="F468" s="2" t="s">
        <v>396</v>
      </c>
      <c r="G468" s="2" t="s">
        <v>16</v>
      </c>
      <c r="H468" s="2">
        <v>4.5</v>
      </c>
      <c r="I468" s="2" t="s">
        <v>574</v>
      </c>
      <c r="J468" s="2" t="s">
        <v>575</v>
      </c>
      <c r="K468" s="4" t="s">
        <v>576</v>
      </c>
      <c r="L468" s="2" t="str">
        <f>IFERROR(VLOOKUP(IFERROR(VLOOKUP(C468,'Destination Alias'!$A:$B,2,FALSE()),C468),'Best Months'!$A:$B,2,FALSE()),"Not listed")</f>
        <v>Dec–Mar</v>
      </c>
      <c r="S468" t="s">
        <v>576</v>
      </c>
    </row>
    <row r="469" spans="1:19" x14ac:dyDescent="0.3">
      <c r="A469" s="2" t="s">
        <v>573</v>
      </c>
      <c r="B469" s="2" t="s">
        <v>49</v>
      </c>
      <c r="C469" s="2" t="s">
        <v>50</v>
      </c>
      <c r="D469" s="3">
        <v>0.34722222222222199</v>
      </c>
      <c r="E469" s="3">
        <v>0.36111111111111099</v>
      </c>
      <c r="F469" s="2" t="s">
        <v>396</v>
      </c>
      <c r="G469" s="2" t="s">
        <v>16</v>
      </c>
      <c r="H469" s="2">
        <v>4.5</v>
      </c>
      <c r="I469" s="2" t="s">
        <v>574</v>
      </c>
      <c r="J469" s="2" t="s">
        <v>575</v>
      </c>
      <c r="K469" s="4" t="s">
        <v>576</v>
      </c>
      <c r="L469" s="2" t="str">
        <f>IFERROR(VLOOKUP(IFERROR(VLOOKUP(C469,'Destination Alias'!$A:$B,2,FALSE()),C469),'Best Months'!$A:$B,2,FALSE()),"Not listed")</f>
        <v>Dec–Mar</v>
      </c>
      <c r="S469" t="s">
        <v>576</v>
      </c>
    </row>
    <row r="470" spans="1:19" x14ac:dyDescent="0.3">
      <c r="A470" s="2" t="s">
        <v>573</v>
      </c>
      <c r="B470" s="2" t="s">
        <v>49</v>
      </c>
      <c r="C470" s="2" t="s">
        <v>50</v>
      </c>
      <c r="D470" s="3">
        <v>0.36111111111111099</v>
      </c>
      <c r="E470" s="3">
        <v>0.375</v>
      </c>
      <c r="F470" s="2" t="s">
        <v>396</v>
      </c>
      <c r="G470" s="2" t="s">
        <v>16</v>
      </c>
      <c r="H470" s="2">
        <v>4.5</v>
      </c>
      <c r="I470" s="2" t="s">
        <v>574</v>
      </c>
      <c r="J470" s="2" t="s">
        <v>575</v>
      </c>
      <c r="K470" s="4" t="s">
        <v>576</v>
      </c>
      <c r="L470" s="2" t="str">
        <f>IFERROR(VLOOKUP(IFERROR(VLOOKUP(C470,'Destination Alias'!$A:$B,2,FALSE()),C470),'Best Months'!$A:$B,2,FALSE()),"Not listed")</f>
        <v>Dec–Mar</v>
      </c>
      <c r="S470" t="s">
        <v>576</v>
      </c>
    </row>
    <row r="471" spans="1:19" x14ac:dyDescent="0.3">
      <c r="A471" s="2" t="s">
        <v>573</v>
      </c>
      <c r="B471" s="2" t="s">
        <v>49</v>
      </c>
      <c r="C471" s="2" t="s">
        <v>50</v>
      </c>
      <c r="D471" s="3">
        <v>0.375</v>
      </c>
      <c r="E471" s="3">
        <v>0.38888888888888901</v>
      </c>
      <c r="F471" s="2" t="s">
        <v>396</v>
      </c>
      <c r="G471" s="2" t="s">
        <v>20</v>
      </c>
      <c r="H471" s="2">
        <v>4.5</v>
      </c>
      <c r="I471" s="2" t="s">
        <v>574</v>
      </c>
      <c r="J471" s="2" t="s">
        <v>575</v>
      </c>
      <c r="K471" s="4" t="s">
        <v>576</v>
      </c>
      <c r="L471" s="2" t="str">
        <f>IFERROR(VLOOKUP(IFERROR(VLOOKUP(C471,'Destination Alias'!$A:$B,2,FALSE()),C471),'Best Months'!$A:$B,2,FALSE()),"Not listed")</f>
        <v>Dec–Mar</v>
      </c>
      <c r="S471" t="s">
        <v>576</v>
      </c>
    </row>
    <row r="472" spans="1:19" x14ac:dyDescent="0.3">
      <c r="A472" s="2" t="s">
        <v>573</v>
      </c>
      <c r="B472" s="2" t="s">
        <v>49</v>
      </c>
      <c r="C472" s="2" t="s">
        <v>50</v>
      </c>
      <c r="D472" s="3">
        <v>0.38888888888888901</v>
      </c>
      <c r="E472" s="3">
        <v>0.40277777777777801</v>
      </c>
      <c r="F472" s="2" t="s">
        <v>396</v>
      </c>
      <c r="G472" s="2" t="s">
        <v>20</v>
      </c>
      <c r="H472" s="2">
        <v>4.5</v>
      </c>
      <c r="I472" s="2" t="s">
        <v>574</v>
      </c>
      <c r="J472" s="2" t="s">
        <v>575</v>
      </c>
      <c r="K472" s="4" t="s">
        <v>576</v>
      </c>
      <c r="L472" s="2" t="str">
        <f>IFERROR(VLOOKUP(IFERROR(VLOOKUP(C472,'Destination Alias'!$A:$B,2,FALSE()),C472),'Best Months'!$A:$B,2,FALSE()),"Not listed")</f>
        <v>Dec–Mar</v>
      </c>
      <c r="S472" t="s">
        <v>576</v>
      </c>
    </row>
    <row r="473" spans="1:19" x14ac:dyDescent="0.3">
      <c r="A473" s="2" t="s">
        <v>573</v>
      </c>
      <c r="B473" s="2" t="s">
        <v>49</v>
      </c>
      <c r="C473" s="2" t="s">
        <v>50</v>
      </c>
      <c r="D473" s="3">
        <v>0.40277777777777801</v>
      </c>
      <c r="E473" s="3">
        <v>0.41666666666666702</v>
      </c>
      <c r="F473" s="2" t="s">
        <v>396</v>
      </c>
      <c r="G473" s="2" t="s">
        <v>20</v>
      </c>
      <c r="H473" s="2">
        <v>4.5</v>
      </c>
      <c r="I473" s="2" t="s">
        <v>574</v>
      </c>
      <c r="J473" s="2" t="s">
        <v>575</v>
      </c>
      <c r="K473" s="4" t="s">
        <v>576</v>
      </c>
      <c r="L473" s="2" t="str">
        <f>IFERROR(VLOOKUP(IFERROR(VLOOKUP(C473,'Destination Alias'!$A:$B,2,FALSE()),C473),'Best Months'!$A:$B,2,FALSE()),"Not listed")</f>
        <v>Dec–Mar</v>
      </c>
      <c r="S473" t="s">
        <v>576</v>
      </c>
    </row>
    <row r="474" spans="1:19" x14ac:dyDescent="0.3">
      <c r="A474" s="2" t="s">
        <v>577</v>
      </c>
      <c r="B474" s="2" t="s">
        <v>22</v>
      </c>
      <c r="C474" s="2" t="s">
        <v>27</v>
      </c>
      <c r="D474" s="3">
        <v>0.22916666666666699</v>
      </c>
      <c r="E474" s="3">
        <v>0.4375</v>
      </c>
      <c r="F474" s="2" t="s">
        <v>546</v>
      </c>
      <c r="G474" s="2" t="s">
        <v>28</v>
      </c>
      <c r="H474" s="2">
        <v>4.4000000000000004</v>
      </c>
      <c r="I474" s="2" t="s">
        <v>578</v>
      </c>
      <c r="J474" s="2" t="s">
        <v>579</v>
      </c>
      <c r="K474" s="2"/>
      <c r="L474" s="2" t="str">
        <f>IFERROR(VLOOKUP(IFERROR(VLOOKUP(C474,'Destination Alias'!$A:$B,2,FALSE()),C474),'Best Months'!$A:$B,2,FALSE()),"Not listed")</f>
        <v>May–Sep</v>
      </c>
    </row>
    <row r="475" spans="1:19" x14ac:dyDescent="0.3">
      <c r="A475" s="2" t="s">
        <v>580</v>
      </c>
      <c r="B475" s="2" t="s">
        <v>22</v>
      </c>
      <c r="C475" s="2" t="s">
        <v>50</v>
      </c>
      <c r="D475" s="3">
        <v>0.27083333333333298</v>
      </c>
      <c r="E475" s="3">
        <v>0.33333333333333298</v>
      </c>
      <c r="F475" s="2" t="s">
        <v>15</v>
      </c>
      <c r="G475" s="2" t="s">
        <v>28</v>
      </c>
      <c r="H475" s="2">
        <v>4</v>
      </c>
      <c r="I475" s="2" t="s">
        <v>581</v>
      </c>
      <c r="J475" s="2" t="s">
        <v>582</v>
      </c>
      <c r="K475" s="4" t="s">
        <v>583</v>
      </c>
      <c r="L475" s="2" t="str">
        <f>IFERROR(VLOOKUP(IFERROR(VLOOKUP(C475,'Destination Alias'!$A:$B,2,FALSE()),C475),'Best Months'!$A:$B,2,FALSE()),"Not listed")</f>
        <v>Dec–Mar</v>
      </c>
      <c r="S475" t="s">
        <v>583</v>
      </c>
    </row>
    <row r="476" spans="1:19" x14ac:dyDescent="0.3">
      <c r="A476" s="2" t="s">
        <v>580</v>
      </c>
      <c r="B476" s="2" t="s">
        <v>22</v>
      </c>
      <c r="C476" s="2" t="s">
        <v>50</v>
      </c>
      <c r="D476" s="3">
        <v>0.35416666666666702</v>
      </c>
      <c r="E476" s="3">
        <v>0.41666666666666702</v>
      </c>
      <c r="F476" s="2" t="s">
        <v>15</v>
      </c>
      <c r="G476" s="2" t="s">
        <v>16</v>
      </c>
      <c r="H476" s="2">
        <v>5</v>
      </c>
      <c r="I476" s="2" t="s">
        <v>581</v>
      </c>
      <c r="J476" s="2" t="s">
        <v>582</v>
      </c>
      <c r="K476" s="4" t="s">
        <v>583</v>
      </c>
      <c r="L476" s="2" t="str">
        <f>IFERROR(VLOOKUP(IFERROR(VLOOKUP(C476,'Destination Alias'!$A:$B,2,FALSE()),C476),'Best Months'!$A:$B,2,FALSE()),"Not listed")</f>
        <v>Dec–Mar</v>
      </c>
      <c r="S476" t="s">
        <v>583</v>
      </c>
    </row>
    <row r="477" spans="1:19" x14ac:dyDescent="0.3">
      <c r="A477" s="2" t="s">
        <v>580</v>
      </c>
      <c r="B477" s="2" t="s">
        <v>22</v>
      </c>
      <c r="C477" s="2" t="s">
        <v>50</v>
      </c>
      <c r="D477" s="3">
        <v>0.5</v>
      </c>
      <c r="E477" s="3">
        <v>0.5625</v>
      </c>
      <c r="F477" s="2" t="s">
        <v>15</v>
      </c>
      <c r="G477" s="2" t="s">
        <v>220</v>
      </c>
      <c r="H477" s="2">
        <v>5</v>
      </c>
      <c r="I477" s="2" t="s">
        <v>581</v>
      </c>
      <c r="J477" s="2" t="s">
        <v>582</v>
      </c>
      <c r="K477" s="4" t="s">
        <v>583</v>
      </c>
      <c r="L477" s="2" t="str">
        <f>IFERROR(VLOOKUP(IFERROR(VLOOKUP(C477,'Destination Alias'!$A:$B,2,FALSE()),C477),'Best Months'!$A:$B,2,FALSE()),"Not listed")</f>
        <v>Dec–Mar</v>
      </c>
      <c r="S477" t="s">
        <v>583</v>
      </c>
    </row>
    <row r="478" spans="1:19" x14ac:dyDescent="0.3">
      <c r="A478" s="2" t="s">
        <v>580</v>
      </c>
      <c r="B478" s="2" t="s">
        <v>22</v>
      </c>
      <c r="C478" s="2" t="s">
        <v>50</v>
      </c>
      <c r="D478" s="3">
        <v>0.625</v>
      </c>
      <c r="E478" s="3">
        <v>0.6875</v>
      </c>
      <c r="F478" s="2" t="s">
        <v>15</v>
      </c>
      <c r="G478" s="2" t="s">
        <v>73</v>
      </c>
      <c r="H478" s="2">
        <v>5</v>
      </c>
      <c r="I478" s="2" t="s">
        <v>581</v>
      </c>
      <c r="J478" s="2" t="s">
        <v>582</v>
      </c>
      <c r="K478" s="4" t="s">
        <v>583</v>
      </c>
      <c r="L478" s="2" t="str">
        <f>IFERROR(VLOOKUP(IFERROR(VLOOKUP(C478,'Destination Alias'!$A:$B,2,FALSE()),C478),'Best Months'!$A:$B,2,FALSE()),"Not listed")</f>
        <v>Dec–Mar</v>
      </c>
      <c r="S478" t="s">
        <v>583</v>
      </c>
    </row>
    <row r="479" spans="1:19" x14ac:dyDescent="0.3">
      <c r="A479" s="2" t="s">
        <v>580</v>
      </c>
      <c r="B479" s="2" t="s">
        <v>22</v>
      </c>
      <c r="C479" s="2" t="s">
        <v>50</v>
      </c>
      <c r="D479" s="3">
        <v>0.25</v>
      </c>
      <c r="E479" s="3">
        <v>0.375</v>
      </c>
      <c r="F479" s="2" t="s">
        <v>15</v>
      </c>
      <c r="G479" s="2" t="s">
        <v>28</v>
      </c>
      <c r="H479" s="2">
        <v>4.5999999999999996</v>
      </c>
      <c r="I479" s="2" t="s">
        <v>581</v>
      </c>
      <c r="J479" s="2" t="s">
        <v>582</v>
      </c>
      <c r="K479" s="4" t="s">
        <v>583</v>
      </c>
      <c r="L479" s="2" t="str">
        <f>IFERROR(VLOOKUP(IFERROR(VLOOKUP(C479,'Destination Alias'!$A:$B,2,FALSE()),C479),'Best Months'!$A:$B,2,FALSE()),"Not listed")</f>
        <v>Dec–Mar</v>
      </c>
      <c r="S479" t="s">
        <v>583</v>
      </c>
    </row>
    <row r="480" spans="1:19" x14ac:dyDescent="0.3">
      <c r="A480" s="2" t="s">
        <v>580</v>
      </c>
      <c r="B480" s="2" t="s">
        <v>22</v>
      </c>
      <c r="C480" s="2" t="s">
        <v>50</v>
      </c>
      <c r="D480" s="3">
        <v>0.72916666666666696</v>
      </c>
      <c r="E480" s="3">
        <v>0.79166666666666696</v>
      </c>
      <c r="F480" s="2" t="s">
        <v>15</v>
      </c>
      <c r="G480" s="2" t="s">
        <v>52</v>
      </c>
      <c r="H480" s="2">
        <v>4.5999999999999996</v>
      </c>
      <c r="I480" s="2" t="s">
        <v>581</v>
      </c>
      <c r="J480" s="2" t="s">
        <v>582</v>
      </c>
      <c r="K480" s="4" t="s">
        <v>583</v>
      </c>
      <c r="L480" s="2" t="str">
        <f>IFERROR(VLOOKUP(IFERROR(VLOOKUP(C480,'Destination Alias'!$A:$B,2,FALSE()),C480),'Best Months'!$A:$B,2,FALSE()),"Not listed")</f>
        <v>Dec–Mar</v>
      </c>
      <c r="S480" t="s">
        <v>583</v>
      </c>
    </row>
    <row r="481" spans="1:19" x14ac:dyDescent="0.3">
      <c r="A481" s="2" t="s">
        <v>584</v>
      </c>
      <c r="B481" s="2" t="s">
        <v>49</v>
      </c>
      <c r="C481" s="2" t="s">
        <v>108</v>
      </c>
      <c r="D481" s="3">
        <v>0.66666666666666696</v>
      </c>
      <c r="E481" s="3">
        <v>0.75</v>
      </c>
      <c r="F481" s="2" t="s">
        <v>51</v>
      </c>
      <c r="G481" s="2" t="s">
        <v>73</v>
      </c>
      <c r="H481" s="2">
        <v>4.5</v>
      </c>
      <c r="I481" s="2" t="s">
        <v>585</v>
      </c>
      <c r="J481" s="2" t="s">
        <v>586</v>
      </c>
      <c r="K481" s="4" t="s">
        <v>587</v>
      </c>
      <c r="L481" s="2" t="str">
        <f>IFERROR(VLOOKUP(IFERROR(VLOOKUP(C481,'Destination Alias'!$A:$B,2,FALSE()),C481),'Best Months'!$A:$B,2,FALSE()),"Not listed")</f>
        <v>Jan–Mar, Jul–Aug</v>
      </c>
      <c r="S481" t="s">
        <v>587</v>
      </c>
    </row>
    <row r="482" spans="1:19" x14ac:dyDescent="0.3">
      <c r="A482" s="2" t="s">
        <v>588</v>
      </c>
      <c r="B482" s="2" t="s">
        <v>81</v>
      </c>
      <c r="C482" s="2" t="s">
        <v>65</v>
      </c>
      <c r="D482" s="3">
        <v>0.25</v>
      </c>
      <c r="E482" s="3">
        <v>0.33333333333333298</v>
      </c>
      <c r="F482" s="2" t="s">
        <v>51</v>
      </c>
      <c r="G482" s="2" t="s">
        <v>28</v>
      </c>
      <c r="H482" s="2">
        <v>4.4000000000000004</v>
      </c>
      <c r="I482" s="2" t="s">
        <v>589</v>
      </c>
      <c r="J482" s="2" t="s">
        <v>590</v>
      </c>
      <c r="K482" s="4" t="s">
        <v>591</v>
      </c>
      <c r="L482" s="2" t="str">
        <f>IFERROR(VLOOKUP(IFERROR(VLOOKUP(C482,'Destination Alias'!$A:$B,2,FALSE()),C482),'Best Months'!$A:$B,2,FALSE()),"Not listed")</f>
        <v>Dec–Mar</v>
      </c>
      <c r="S482" t="s">
        <v>591</v>
      </c>
    </row>
    <row r="483" spans="1:19" x14ac:dyDescent="0.3">
      <c r="A483" s="2" t="s">
        <v>592</v>
      </c>
      <c r="B483" s="2" t="s">
        <v>241</v>
      </c>
      <c r="C483" s="2" t="s">
        <v>14</v>
      </c>
      <c r="D483" s="3">
        <v>0.66666666666666696</v>
      </c>
      <c r="E483" s="3">
        <v>0.75</v>
      </c>
      <c r="F483" s="2" t="s">
        <v>51</v>
      </c>
      <c r="G483" s="2" t="s">
        <v>73</v>
      </c>
      <c r="H483" s="2">
        <v>4.3</v>
      </c>
      <c r="I483" s="2" t="s">
        <v>593</v>
      </c>
      <c r="J483" s="2" t="s">
        <v>594</v>
      </c>
      <c r="K483" s="4" t="s">
        <v>595</v>
      </c>
      <c r="L483" s="2" t="str">
        <f>IFERROR(VLOOKUP(IFERROR(VLOOKUP(C483,'Destination Alias'!$A:$B,2,FALSE()),C483),'Best Months'!$A:$B,2,FALSE()),"Not listed")</f>
        <v>Dec–Mar</v>
      </c>
      <c r="S483" t="s">
        <v>595</v>
      </c>
    </row>
    <row r="484" spans="1:19" x14ac:dyDescent="0.3">
      <c r="A484" s="2" t="s">
        <v>596</v>
      </c>
      <c r="B484" s="2" t="s">
        <v>13</v>
      </c>
      <c r="C484" s="2" t="s">
        <v>137</v>
      </c>
      <c r="D484" s="3">
        <v>0.33333333333333298</v>
      </c>
      <c r="E484" s="3">
        <v>0.375</v>
      </c>
      <c r="F484" s="2" t="s">
        <v>35</v>
      </c>
      <c r="G484" s="2" t="s">
        <v>16</v>
      </c>
      <c r="H484" s="2">
        <v>4.2</v>
      </c>
      <c r="I484" s="2" t="s">
        <v>597</v>
      </c>
      <c r="J484" s="2" t="s">
        <v>598</v>
      </c>
      <c r="K484" s="4" t="s">
        <v>599</v>
      </c>
      <c r="L484" s="2" t="str">
        <f>IFERROR(VLOOKUP(IFERROR(VLOOKUP(C484,'Destination Alias'!$A:$B,2,FALSE()),C484),'Best Months'!$A:$B,2,FALSE()),"Not listed")</f>
        <v>Jan–Mar</v>
      </c>
      <c r="S484" t="s">
        <v>599</v>
      </c>
    </row>
    <row r="485" spans="1:19" x14ac:dyDescent="0.3">
      <c r="A485" s="2" t="s">
        <v>596</v>
      </c>
      <c r="B485" s="2" t="s">
        <v>13</v>
      </c>
      <c r="C485" s="2" t="s">
        <v>137</v>
      </c>
      <c r="D485" s="3">
        <v>0.375</v>
      </c>
      <c r="E485" s="3">
        <v>0.41666666666666702</v>
      </c>
      <c r="F485" s="2" t="s">
        <v>35</v>
      </c>
      <c r="G485" s="2" t="s">
        <v>20</v>
      </c>
      <c r="H485" s="2">
        <v>4.2</v>
      </c>
      <c r="I485" s="2" t="s">
        <v>597</v>
      </c>
      <c r="J485" s="2" t="s">
        <v>598</v>
      </c>
      <c r="K485" s="4" t="s">
        <v>599</v>
      </c>
      <c r="L485" s="2" t="str">
        <f>IFERROR(VLOOKUP(IFERROR(VLOOKUP(C485,'Destination Alias'!$A:$B,2,FALSE()),C485),'Best Months'!$A:$B,2,FALSE()),"Not listed")</f>
        <v>Jan–Mar</v>
      </c>
      <c r="S485" t="s">
        <v>599</v>
      </c>
    </row>
    <row r="486" spans="1:19" x14ac:dyDescent="0.3">
      <c r="A486" s="2" t="s">
        <v>596</v>
      </c>
      <c r="B486" s="2" t="s">
        <v>13</v>
      </c>
      <c r="C486" s="2" t="s">
        <v>137</v>
      </c>
      <c r="D486" s="3">
        <v>0.41666666666666702</v>
      </c>
      <c r="E486" s="3">
        <v>0.45833333333333298</v>
      </c>
      <c r="F486" s="2" t="s">
        <v>35</v>
      </c>
      <c r="G486" s="2" t="s">
        <v>20</v>
      </c>
      <c r="H486" s="2">
        <v>4.2</v>
      </c>
      <c r="I486" s="2" t="s">
        <v>597</v>
      </c>
      <c r="J486" s="2" t="s">
        <v>598</v>
      </c>
      <c r="K486" s="4" t="s">
        <v>599</v>
      </c>
      <c r="L486" s="2" t="str">
        <f>IFERROR(VLOOKUP(IFERROR(VLOOKUP(C486,'Destination Alias'!$A:$B,2,FALSE()),C486),'Best Months'!$A:$B,2,FALSE()),"Not listed")</f>
        <v>Jan–Mar</v>
      </c>
      <c r="S486" t="s">
        <v>599</v>
      </c>
    </row>
    <row r="487" spans="1:19" x14ac:dyDescent="0.3">
      <c r="A487" s="2" t="s">
        <v>600</v>
      </c>
      <c r="B487" s="2" t="s">
        <v>241</v>
      </c>
      <c r="C487" s="2" t="s">
        <v>163</v>
      </c>
      <c r="D487" s="3">
        <v>0.60416666666666696</v>
      </c>
      <c r="E487" s="3">
        <v>0.77083333333333304</v>
      </c>
      <c r="F487" s="2" t="s">
        <v>129</v>
      </c>
      <c r="G487" s="2" t="s">
        <v>199</v>
      </c>
      <c r="H487" s="2">
        <v>3.9</v>
      </c>
      <c r="I487" s="2" t="s">
        <v>601</v>
      </c>
      <c r="J487" s="2" t="s">
        <v>602</v>
      </c>
      <c r="K487" s="2"/>
      <c r="L487" s="2" t="str">
        <f>IFERROR(VLOOKUP(IFERROR(VLOOKUP(C487,'Destination Alias'!$A:$B,2,FALSE()),C487),'Best Months'!$A:$B,2,FALSE()),"Not listed")</f>
        <v>Dec–Mar</v>
      </c>
    </row>
    <row r="488" spans="1:19" x14ac:dyDescent="0.3">
      <c r="A488" s="2" t="s">
        <v>603</v>
      </c>
      <c r="B488" s="2" t="s">
        <v>13</v>
      </c>
      <c r="C488" s="2" t="s">
        <v>213</v>
      </c>
      <c r="D488" s="3">
        <v>0.33333333333333298</v>
      </c>
      <c r="E488" s="3">
        <v>0.39583333333333298</v>
      </c>
      <c r="F488" s="2" t="s">
        <v>15</v>
      </c>
      <c r="G488" s="2" t="s">
        <v>16</v>
      </c>
      <c r="H488" s="2">
        <v>3.9</v>
      </c>
      <c r="I488" s="2" t="s">
        <v>604</v>
      </c>
      <c r="J488" s="2" t="s">
        <v>605</v>
      </c>
      <c r="K488" s="4" t="s">
        <v>606</v>
      </c>
      <c r="L488" s="2" t="str">
        <f>IFERROR(VLOOKUP(IFERROR(VLOOKUP(C488,'Destination Alias'!$A:$B,2,FALSE()),C488),'Best Months'!$A:$B,2,FALSE()),"Not listed")</f>
        <v>Jan–Mar</v>
      </c>
      <c r="S488" t="s">
        <v>606</v>
      </c>
    </row>
    <row r="489" spans="1:19" x14ac:dyDescent="0.3">
      <c r="A489" s="2" t="s">
        <v>603</v>
      </c>
      <c r="B489" s="2" t="s">
        <v>13</v>
      </c>
      <c r="C489" s="2" t="s">
        <v>213</v>
      </c>
      <c r="D489" s="3">
        <v>0.39583333333333298</v>
      </c>
      <c r="E489" s="3">
        <v>0.45833333333333298</v>
      </c>
      <c r="F489" s="2" t="s">
        <v>15</v>
      </c>
      <c r="G489" s="2" t="s">
        <v>20</v>
      </c>
      <c r="H489" s="2">
        <v>3.9</v>
      </c>
      <c r="I489" s="2" t="s">
        <v>604</v>
      </c>
      <c r="J489" s="2" t="s">
        <v>605</v>
      </c>
      <c r="K489" s="4" t="s">
        <v>606</v>
      </c>
      <c r="L489" s="2" t="str">
        <f>IFERROR(VLOOKUP(IFERROR(VLOOKUP(C489,'Destination Alias'!$A:$B,2,FALSE()),C489),'Best Months'!$A:$B,2,FALSE()),"Not listed")</f>
        <v>Jan–Mar</v>
      </c>
      <c r="S489" t="s">
        <v>606</v>
      </c>
    </row>
    <row r="490" spans="1:19" x14ac:dyDescent="0.3">
      <c r="A490" s="2" t="s">
        <v>607</v>
      </c>
      <c r="B490" s="2" t="s">
        <v>22</v>
      </c>
      <c r="C490" s="2" t="s">
        <v>27</v>
      </c>
      <c r="D490" s="3">
        <v>0.27083333333333298</v>
      </c>
      <c r="E490" s="3">
        <v>0.3125</v>
      </c>
      <c r="F490" s="2" t="s">
        <v>35</v>
      </c>
      <c r="G490" s="2" t="s">
        <v>28</v>
      </c>
      <c r="H490" s="2">
        <v>4.5999999999999996</v>
      </c>
      <c r="I490" s="2" t="s">
        <v>608</v>
      </c>
      <c r="J490" s="2" t="s">
        <v>609</v>
      </c>
      <c r="K490" s="2"/>
      <c r="L490" s="2" t="str">
        <f>IFERROR(VLOOKUP(IFERROR(VLOOKUP(C490,'Destination Alias'!$A:$B,2,FALSE()),C490),'Best Months'!$A:$B,2,FALSE()),"Not listed")</f>
        <v>May–Sep</v>
      </c>
    </row>
    <row r="491" spans="1:19" x14ac:dyDescent="0.3">
      <c r="A491" s="2" t="s">
        <v>607</v>
      </c>
      <c r="B491" s="2" t="s">
        <v>22</v>
      </c>
      <c r="C491" s="2" t="s">
        <v>27</v>
      </c>
      <c r="D491" s="3">
        <v>0.3125</v>
      </c>
      <c r="E491" s="3">
        <v>0.35416666666666702</v>
      </c>
      <c r="F491" s="2" t="s">
        <v>35</v>
      </c>
      <c r="G491" s="2" t="s">
        <v>38</v>
      </c>
      <c r="H491" s="2">
        <v>4.5999999999999996</v>
      </c>
      <c r="I491" s="2" t="s">
        <v>608</v>
      </c>
      <c r="J491" s="2" t="s">
        <v>609</v>
      </c>
      <c r="K491" s="2"/>
      <c r="L491" s="2" t="str">
        <f>IFERROR(VLOOKUP(IFERROR(VLOOKUP(C491,'Destination Alias'!$A:$B,2,FALSE()),C491),'Best Months'!$A:$B,2,FALSE()),"Not listed")</f>
        <v>May–Sep</v>
      </c>
    </row>
    <row r="492" spans="1:19" x14ac:dyDescent="0.3">
      <c r="A492" s="2" t="s">
        <v>607</v>
      </c>
      <c r="B492" s="2" t="s">
        <v>22</v>
      </c>
      <c r="C492" s="2" t="s">
        <v>27</v>
      </c>
      <c r="D492" s="3">
        <v>0.35416666666666702</v>
      </c>
      <c r="E492" s="3">
        <v>0.39583333333333298</v>
      </c>
      <c r="F492" s="2" t="s">
        <v>35</v>
      </c>
      <c r="G492" s="2" t="s">
        <v>16</v>
      </c>
      <c r="H492" s="2">
        <v>4.5999999999999996</v>
      </c>
      <c r="I492" s="2" t="s">
        <v>608</v>
      </c>
      <c r="J492" s="2" t="s">
        <v>609</v>
      </c>
      <c r="K492" s="2"/>
      <c r="L492" s="2" t="str">
        <f>IFERROR(VLOOKUP(IFERROR(VLOOKUP(C492,'Destination Alias'!$A:$B,2,FALSE()),C492),'Best Months'!$A:$B,2,FALSE()),"Not listed")</f>
        <v>May–Sep</v>
      </c>
    </row>
    <row r="493" spans="1:19" x14ac:dyDescent="0.3">
      <c r="A493" s="2" t="s">
        <v>610</v>
      </c>
      <c r="B493" s="2" t="s">
        <v>13</v>
      </c>
      <c r="C493" s="2" t="s">
        <v>40</v>
      </c>
      <c r="D493" s="3">
        <v>0.375</v>
      </c>
      <c r="E493" s="3">
        <v>0.45833333333333298</v>
      </c>
      <c r="F493" s="2" t="s">
        <v>51</v>
      </c>
      <c r="G493" s="2" t="s">
        <v>20</v>
      </c>
      <c r="H493" s="2">
        <v>4.3</v>
      </c>
      <c r="I493" s="2" t="s">
        <v>611</v>
      </c>
      <c r="J493" s="2" t="s">
        <v>612</v>
      </c>
      <c r="K493" s="4" t="s">
        <v>613</v>
      </c>
      <c r="L493" s="2" t="str">
        <f>IFERROR(VLOOKUP(IFERROR(VLOOKUP(C493,'Destination Alias'!$A:$B,2,FALSE()),C493),'Best Months'!$A:$B,2,FALSE()),"Not listed")</f>
        <v>Jan–Mar, Jul–Aug</v>
      </c>
      <c r="S493" t="s">
        <v>613</v>
      </c>
    </row>
    <row r="494" spans="1:19" x14ac:dyDescent="0.3">
      <c r="A494" s="2" t="s">
        <v>614</v>
      </c>
      <c r="B494" s="2" t="s">
        <v>22</v>
      </c>
      <c r="C494" s="2" t="s">
        <v>615</v>
      </c>
      <c r="D494" s="3">
        <v>0.27083333333333298</v>
      </c>
      <c r="E494" s="3">
        <v>0.33333333333333298</v>
      </c>
      <c r="F494" s="2" t="s">
        <v>15</v>
      </c>
      <c r="G494" s="2" t="s">
        <v>28</v>
      </c>
      <c r="H494" s="2">
        <v>4</v>
      </c>
      <c r="I494" s="2" t="s">
        <v>616</v>
      </c>
      <c r="J494" s="2" t="s">
        <v>617</v>
      </c>
      <c r="K494" s="2"/>
      <c r="L494" s="2" t="str">
        <f>IFERROR(VLOOKUP(IFERROR(VLOOKUP(C494,'Destination Alias'!$A:$B,2,FALSE()),C494),'Best Months'!$A:$B,2,FALSE()),"Not listed")</f>
        <v>May–Sep</v>
      </c>
    </row>
    <row r="495" spans="1:19" x14ac:dyDescent="0.3">
      <c r="A495" s="2" t="s">
        <v>614</v>
      </c>
      <c r="B495" s="2" t="s">
        <v>22</v>
      </c>
      <c r="C495" s="2" t="s">
        <v>615</v>
      </c>
      <c r="D495" s="3">
        <v>0.33333333333333298</v>
      </c>
      <c r="E495" s="3">
        <v>0.39583333333333298</v>
      </c>
      <c r="F495" s="2" t="s">
        <v>15</v>
      </c>
      <c r="G495" s="2" t="s">
        <v>16</v>
      </c>
      <c r="H495" s="2">
        <v>5</v>
      </c>
      <c r="I495" s="2" t="s">
        <v>616</v>
      </c>
      <c r="J495" s="2" t="s">
        <v>617</v>
      </c>
      <c r="K495" s="2"/>
      <c r="L495" s="2" t="str">
        <f>IFERROR(VLOOKUP(IFERROR(VLOOKUP(C495,'Destination Alias'!$A:$B,2,FALSE()),C495),'Best Months'!$A:$B,2,FALSE()),"Not listed")</f>
        <v>May–Sep</v>
      </c>
    </row>
    <row r="496" spans="1:19" x14ac:dyDescent="0.3">
      <c r="A496" s="2" t="s">
        <v>614</v>
      </c>
      <c r="B496" s="2" t="s">
        <v>22</v>
      </c>
      <c r="C496" s="2" t="s">
        <v>615</v>
      </c>
      <c r="D496" s="3">
        <v>0.35416666666666702</v>
      </c>
      <c r="E496" s="3">
        <v>0.41666666666666702</v>
      </c>
      <c r="F496" s="2" t="s">
        <v>15</v>
      </c>
      <c r="G496" s="2" t="s">
        <v>16</v>
      </c>
      <c r="H496" s="2">
        <v>5</v>
      </c>
      <c r="I496" s="2" t="s">
        <v>616</v>
      </c>
      <c r="J496" s="2" t="s">
        <v>617</v>
      </c>
      <c r="K496" s="2"/>
      <c r="L496" s="2" t="str">
        <f>IFERROR(VLOOKUP(IFERROR(VLOOKUP(C496,'Destination Alias'!$A:$B,2,FALSE()),C496),'Best Months'!$A:$B,2,FALSE()),"Not listed")</f>
        <v>May–Sep</v>
      </c>
    </row>
    <row r="497" spans="1:12" x14ac:dyDescent="0.3">
      <c r="A497" s="2" t="s">
        <v>614</v>
      </c>
      <c r="B497" s="2" t="s">
        <v>22</v>
      </c>
      <c r="C497" s="2" t="s">
        <v>615</v>
      </c>
      <c r="D497" s="3">
        <v>0.45833333333333298</v>
      </c>
      <c r="E497" s="3">
        <v>0.52083333333333304</v>
      </c>
      <c r="F497" s="2" t="s">
        <v>15</v>
      </c>
      <c r="G497" s="2" t="s">
        <v>220</v>
      </c>
      <c r="H497" s="2">
        <v>5</v>
      </c>
      <c r="I497" s="2" t="s">
        <v>616</v>
      </c>
      <c r="J497" s="2" t="s">
        <v>617</v>
      </c>
      <c r="K497" s="2"/>
      <c r="L497" s="2" t="str">
        <f>IFERROR(VLOOKUP(IFERROR(VLOOKUP(C497,'Destination Alias'!$A:$B,2,FALSE()),C497),'Best Months'!$A:$B,2,FALSE()),"Not listed")</f>
        <v>May–Sep</v>
      </c>
    </row>
    <row r="498" spans="1:12" x14ac:dyDescent="0.3">
      <c r="A498" s="2" t="s">
        <v>614</v>
      </c>
      <c r="B498" s="2" t="s">
        <v>22</v>
      </c>
      <c r="C498" s="2" t="s">
        <v>615</v>
      </c>
      <c r="D498" s="3">
        <v>0.5</v>
      </c>
      <c r="E498" s="3">
        <v>0.5625</v>
      </c>
      <c r="F498" s="2" t="s">
        <v>15</v>
      </c>
      <c r="G498" s="2" t="s">
        <v>220</v>
      </c>
      <c r="H498" s="2">
        <v>5</v>
      </c>
      <c r="I498" s="2" t="s">
        <v>616</v>
      </c>
      <c r="J498" s="2" t="s">
        <v>617</v>
      </c>
      <c r="K498" s="2"/>
      <c r="L498" s="2" t="str">
        <f>IFERROR(VLOOKUP(IFERROR(VLOOKUP(C498,'Destination Alias'!$A:$B,2,FALSE()),C498),'Best Months'!$A:$B,2,FALSE()),"Not listed")</f>
        <v>May–Sep</v>
      </c>
    </row>
    <row r="499" spans="1:12" x14ac:dyDescent="0.3">
      <c r="A499" s="2" t="s">
        <v>614</v>
      </c>
      <c r="B499" s="2" t="s">
        <v>22</v>
      </c>
      <c r="C499" s="2" t="s">
        <v>615</v>
      </c>
      <c r="D499" s="3">
        <v>0.625</v>
      </c>
      <c r="E499" s="3">
        <v>0.6875</v>
      </c>
      <c r="F499" s="2" t="s">
        <v>15</v>
      </c>
      <c r="G499" s="2" t="s">
        <v>73</v>
      </c>
      <c r="H499" s="2">
        <v>4</v>
      </c>
      <c r="I499" s="2" t="s">
        <v>616</v>
      </c>
      <c r="J499" s="2" t="s">
        <v>617</v>
      </c>
      <c r="K499" s="2"/>
      <c r="L499" s="2" t="str">
        <f>IFERROR(VLOOKUP(IFERROR(VLOOKUP(C499,'Destination Alias'!$A:$B,2,FALSE()),C499),'Best Months'!$A:$B,2,FALSE()),"Not listed")</f>
        <v>May–Sep</v>
      </c>
    </row>
    <row r="500" spans="1:12" x14ac:dyDescent="0.3">
      <c r="A500" s="2" t="s">
        <v>614</v>
      </c>
      <c r="B500" s="2" t="s">
        <v>22</v>
      </c>
      <c r="C500" s="2" t="s">
        <v>615</v>
      </c>
      <c r="D500" s="3">
        <v>0.66666666666666696</v>
      </c>
      <c r="E500" s="3">
        <v>0.72916666666666696</v>
      </c>
      <c r="F500" s="2" t="s">
        <v>15</v>
      </c>
      <c r="G500" s="2" t="s">
        <v>73</v>
      </c>
      <c r="H500" s="2">
        <v>5</v>
      </c>
      <c r="I500" s="2" t="s">
        <v>616</v>
      </c>
      <c r="J500" s="2" t="s">
        <v>617</v>
      </c>
      <c r="K500" s="2"/>
      <c r="L500" s="2" t="str">
        <f>IFERROR(VLOOKUP(IFERROR(VLOOKUP(C500,'Destination Alias'!$A:$B,2,FALSE()),C500),'Best Months'!$A:$B,2,FALSE()),"Not listed")</f>
        <v>May–Sep</v>
      </c>
    </row>
    <row r="501" spans="1:12" x14ac:dyDescent="0.3">
      <c r="A501" s="2" t="s">
        <v>614</v>
      </c>
      <c r="B501" s="2" t="s">
        <v>22</v>
      </c>
      <c r="C501" s="2" t="s">
        <v>615</v>
      </c>
      <c r="D501" s="3">
        <v>0.6875</v>
      </c>
      <c r="E501" s="3">
        <v>0.75</v>
      </c>
      <c r="F501" s="2" t="s">
        <v>15</v>
      </c>
      <c r="G501" s="2" t="s">
        <v>73</v>
      </c>
      <c r="H501" s="2">
        <v>5</v>
      </c>
      <c r="I501" s="2" t="s">
        <v>616</v>
      </c>
      <c r="J501" s="2" t="s">
        <v>617</v>
      </c>
      <c r="K501" s="2"/>
      <c r="L501" s="2" t="str">
        <f>IFERROR(VLOOKUP(IFERROR(VLOOKUP(C501,'Destination Alias'!$A:$B,2,FALSE()),C501),'Best Months'!$A:$B,2,FALSE()),"Not listed")</f>
        <v>May–Sep</v>
      </c>
    </row>
    <row r="502" spans="1:12" x14ac:dyDescent="0.3">
      <c r="A502" s="2" t="s">
        <v>614</v>
      </c>
      <c r="B502" s="2" t="s">
        <v>22</v>
      </c>
      <c r="C502" s="2" t="s">
        <v>615</v>
      </c>
      <c r="D502" s="3">
        <v>0.72916666666666696</v>
      </c>
      <c r="E502" s="3">
        <v>0.79166666666666696</v>
      </c>
      <c r="F502" s="2" t="s">
        <v>15</v>
      </c>
      <c r="G502" s="2" t="s">
        <v>52</v>
      </c>
      <c r="H502" s="2">
        <v>5</v>
      </c>
      <c r="I502" s="2" t="s">
        <v>616</v>
      </c>
      <c r="J502" s="2" t="s">
        <v>617</v>
      </c>
      <c r="K502" s="2"/>
      <c r="L502" s="2" t="str">
        <f>IFERROR(VLOOKUP(IFERROR(VLOOKUP(C502,'Destination Alias'!$A:$B,2,FALSE()),C502),'Best Months'!$A:$B,2,FALSE()),"Not listed")</f>
        <v>May–Sep</v>
      </c>
    </row>
    <row r="503" spans="1:12" x14ac:dyDescent="0.3">
      <c r="A503" s="2" t="s">
        <v>614</v>
      </c>
      <c r="B503" s="2" t="s">
        <v>22</v>
      </c>
      <c r="C503" s="2" t="s">
        <v>615</v>
      </c>
      <c r="D503" s="3">
        <v>0.75</v>
      </c>
      <c r="E503" s="3">
        <v>0.8125</v>
      </c>
      <c r="F503" s="2" t="s">
        <v>15</v>
      </c>
      <c r="G503" s="2" t="s">
        <v>102</v>
      </c>
      <c r="H503" s="2">
        <v>4</v>
      </c>
      <c r="I503" s="2" t="s">
        <v>616</v>
      </c>
      <c r="J503" s="2" t="s">
        <v>617</v>
      </c>
      <c r="K503" s="2"/>
      <c r="L503" s="2" t="str">
        <f>IFERROR(VLOOKUP(IFERROR(VLOOKUP(C503,'Destination Alias'!$A:$B,2,FALSE()),C503),'Best Months'!$A:$B,2,FALSE()),"Not listed")</f>
        <v>May–Sep</v>
      </c>
    </row>
    <row r="504" spans="1:12" x14ac:dyDescent="0.3">
      <c r="A504" s="2" t="s">
        <v>614</v>
      </c>
      <c r="B504" s="2" t="s">
        <v>22</v>
      </c>
      <c r="C504" s="2" t="s">
        <v>615</v>
      </c>
      <c r="D504" s="3">
        <v>0.6875</v>
      </c>
      <c r="E504" s="3">
        <v>0.75</v>
      </c>
      <c r="F504" s="2" t="s">
        <v>15</v>
      </c>
      <c r="G504" s="2" t="s">
        <v>73</v>
      </c>
      <c r="H504" s="2">
        <v>4.5999999999999996</v>
      </c>
      <c r="I504" s="2" t="s">
        <v>616</v>
      </c>
      <c r="J504" s="2" t="s">
        <v>617</v>
      </c>
      <c r="K504" s="2"/>
      <c r="L504" s="2" t="str">
        <f>IFERROR(VLOOKUP(IFERROR(VLOOKUP(C504,'Destination Alias'!$A:$B,2,FALSE()),C504),'Best Months'!$A:$B,2,FALSE()),"Not listed")</f>
        <v>May–Sep</v>
      </c>
    </row>
    <row r="505" spans="1:12" x14ac:dyDescent="0.3">
      <c r="A505" s="2" t="s">
        <v>618</v>
      </c>
      <c r="B505" s="2" t="s">
        <v>241</v>
      </c>
      <c r="C505" s="2" t="s">
        <v>163</v>
      </c>
      <c r="D505" s="3">
        <v>0.70833333333333304</v>
      </c>
      <c r="E505" s="3">
        <v>0.75</v>
      </c>
      <c r="F505" s="2" t="s">
        <v>35</v>
      </c>
      <c r="G505" s="2" t="s">
        <v>52</v>
      </c>
      <c r="H505" s="2">
        <v>4.2</v>
      </c>
      <c r="I505" s="2" t="s">
        <v>619</v>
      </c>
      <c r="J505" s="2" t="s">
        <v>620</v>
      </c>
      <c r="K505" s="2"/>
      <c r="L505" s="2" t="str">
        <f>IFERROR(VLOOKUP(IFERROR(VLOOKUP(C505,'Destination Alias'!$A:$B,2,FALSE()),C505),'Best Months'!$A:$B,2,FALSE()),"Not listed")</f>
        <v>Dec–Mar</v>
      </c>
    </row>
    <row r="506" spans="1:12" x14ac:dyDescent="0.3">
      <c r="A506" s="2" t="s">
        <v>618</v>
      </c>
      <c r="B506" s="2" t="s">
        <v>241</v>
      </c>
      <c r="C506" s="2" t="s">
        <v>163</v>
      </c>
      <c r="D506" s="3">
        <v>0.75</v>
      </c>
      <c r="E506" s="3">
        <v>0.79166666666666696</v>
      </c>
      <c r="F506" s="2" t="s">
        <v>35</v>
      </c>
      <c r="G506" s="2" t="s">
        <v>102</v>
      </c>
      <c r="H506" s="2">
        <v>4.2</v>
      </c>
      <c r="I506" s="2" t="s">
        <v>619</v>
      </c>
      <c r="J506" s="2" t="s">
        <v>620</v>
      </c>
      <c r="K506" s="2"/>
      <c r="L506" s="2" t="str">
        <f>IFERROR(VLOOKUP(IFERROR(VLOOKUP(C506,'Destination Alias'!$A:$B,2,FALSE()),C506),'Best Months'!$A:$B,2,FALSE()),"Not listed")</f>
        <v>Dec–Mar</v>
      </c>
    </row>
    <row r="507" spans="1:12" x14ac:dyDescent="0.3">
      <c r="A507" s="2" t="s">
        <v>621</v>
      </c>
      <c r="B507" s="2" t="s">
        <v>81</v>
      </c>
      <c r="C507" s="2" t="s">
        <v>27</v>
      </c>
      <c r="D507" s="3">
        <v>0.27083333333333298</v>
      </c>
      <c r="E507" s="3">
        <v>0.35416666666666702</v>
      </c>
      <c r="F507" s="2" t="s">
        <v>51</v>
      </c>
      <c r="G507" s="2" t="s">
        <v>28</v>
      </c>
      <c r="H507" s="2">
        <v>4.4000000000000004</v>
      </c>
      <c r="I507" s="2" t="s">
        <v>622</v>
      </c>
      <c r="J507" s="2" t="s">
        <v>623</v>
      </c>
      <c r="K507" s="2"/>
      <c r="L507" s="2" t="str">
        <f>IFERROR(VLOOKUP(IFERROR(VLOOKUP(C507,'Destination Alias'!$A:$B,2,FALSE()),C507),'Best Months'!$A:$B,2,FALSE()),"Not listed")</f>
        <v>May–Sep</v>
      </c>
    </row>
    <row r="508" spans="1:12" x14ac:dyDescent="0.3">
      <c r="A508" s="2" t="s">
        <v>624</v>
      </c>
      <c r="B508" s="2" t="s">
        <v>22</v>
      </c>
      <c r="C508" s="2" t="s">
        <v>27</v>
      </c>
      <c r="D508" s="3">
        <v>0.27083333333333298</v>
      </c>
      <c r="E508" s="3">
        <v>0.39583333333333298</v>
      </c>
      <c r="F508" s="2" t="s">
        <v>61</v>
      </c>
      <c r="G508" s="2" t="s">
        <v>28</v>
      </c>
      <c r="H508" s="2">
        <v>4.3</v>
      </c>
      <c r="I508" s="2" t="s">
        <v>625</v>
      </c>
      <c r="J508" s="2" t="s">
        <v>626</v>
      </c>
      <c r="K508" s="2"/>
      <c r="L508" s="2" t="str">
        <f>IFERROR(VLOOKUP(IFERROR(VLOOKUP(C508,'Destination Alias'!$A:$B,2,FALSE()),C508),'Best Months'!$A:$B,2,FALSE()),"Not listed")</f>
        <v>May–Sep</v>
      </c>
    </row>
    <row r="509" spans="1:12" x14ac:dyDescent="0.3">
      <c r="A509" s="2" t="s">
        <v>627</v>
      </c>
      <c r="B509" s="2" t="s">
        <v>81</v>
      </c>
      <c r="C509" s="2" t="s">
        <v>14</v>
      </c>
      <c r="D509" s="3">
        <v>0.25</v>
      </c>
      <c r="E509" s="3">
        <v>0.41666666666666702</v>
      </c>
      <c r="F509" s="2" t="s">
        <v>129</v>
      </c>
      <c r="G509" s="2" t="s">
        <v>28</v>
      </c>
      <c r="H509" s="2">
        <v>5</v>
      </c>
      <c r="I509" s="2" t="s">
        <v>628</v>
      </c>
      <c r="J509" s="2" t="s">
        <v>629</v>
      </c>
      <c r="K509" s="2"/>
      <c r="L509" s="2" t="str">
        <f>IFERROR(VLOOKUP(IFERROR(VLOOKUP(C509,'Destination Alias'!$A:$B,2,FALSE()),C509),'Best Months'!$A:$B,2,FALSE()),"Not listed")</f>
        <v>Dec–Mar</v>
      </c>
    </row>
    <row r="510" spans="1:12" x14ac:dyDescent="0.3">
      <c r="A510" s="2" t="s">
        <v>627</v>
      </c>
      <c r="B510" s="2" t="s">
        <v>81</v>
      </c>
      <c r="C510" s="2" t="s">
        <v>14</v>
      </c>
      <c r="D510" s="3">
        <v>0.35416666666666702</v>
      </c>
      <c r="E510" s="3">
        <v>0.52083333333333304</v>
      </c>
      <c r="F510" s="2" t="s">
        <v>129</v>
      </c>
      <c r="G510" s="2" t="s">
        <v>16</v>
      </c>
      <c r="H510" s="2">
        <v>5</v>
      </c>
      <c r="I510" s="2" t="s">
        <v>628</v>
      </c>
      <c r="J510" s="2" t="s">
        <v>629</v>
      </c>
      <c r="K510" s="2"/>
      <c r="L510" s="2" t="str">
        <f>IFERROR(VLOOKUP(IFERROR(VLOOKUP(C510,'Destination Alias'!$A:$B,2,FALSE()),C510),'Best Months'!$A:$B,2,FALSE()),"Not listed")</f>
        <v>Dec–Mar</v>
      </c>
    </row>
    <row r="511" spans="1:12" x14ac:dyDescent="0.3">
      <c r="A511" s="2" t="s">
        <v>627</v>
      </c>
      <c r="B511" s="2" t="s">
        <v>81</v>
      </c>
      <c r="C511" s="2" t="s">
        <v>14</v>
      </c>
      <c r="D511" s="3">
        <v>0.54166666666666696</v>
      </c>
      <c r="E511" s="3">
        <v>0.70833333333333304</v>
      </c>
      <c r="F511" s="2" t="s">
        <v>129</v>
      </c>
      <c r="G511" s="2" t="s">
        <v>199</v>
      </c>
      <c r="H511" s="2">
        <v>5</v>
      </c>
      <c r="I511" s="2" t="s">
        <v>628</v>
      </c>
      <c r="J511" s="2" t="s">
        <v>629</v>
      </c>
      <c r="K511" s="2"/>
      <c r="L511" s="2" t="str">
        <f>IFERROR(VLOOKUP(IFERROR(VLOOKUP(C511,'Destination Alias'!$A:$B,2,FALSE()),C511),'Best Months'!$A:$B,2,FALSE()),"Not listed")</f>
        <v>Dec–Mar</v>
      </c>
    </row>
    <row r="512" spans="1:12" x14ac:dyDescent="0.3">
      <c r="A512" s="2" t="s">
        <v>627</v>
      </c>
      <c r="B512" s="2" t="s">
        <v>81</v>
      </c>
      <c r="C512" s="2" t="s">
        <v>14</v>
      </c>
      <c r="D512" s="3">
        <v>0.5625</v>
      </c>
      <c r="E512" s="3">
        <v>0.72916666666666696</v>
      </c>
      <c r="F512" s="2" t="s">
        <v>129</v>
      </c>
      <c r="G512" s="2" t="s">
        <v>199</v>
      </c>
      <c r="H512" s="2">
        <v>4</v>
      </c>
      <c r="I512" s="2" t="s">
        <v>628</v>
      </c>
      <c r="J512" s="2" t="s">
        <v>629</v>
      </c>
      <c r="K512" s="2"/>
      <c r="L512" s="2" t="str">
        <f>IFERROR(VLOOKUP(IFERROR(VLOOKUP(C512,'Destination Alias'!$A:$B,2,FALSE()),C512),'Best Months'!$A:$B,2,FALSE()),"Not listed")</f>
        <v>Dec–Mar</v>
      </c>
    </row>
    <row r="513" spans="1:19" x14ac:dyDescent="0.3">
      <c r="A513" s="2" t="s">
        <v>627</v>
      </c>
      <c r="B513" s="2" t="s">
        <v>81</v>
      </c>
      <c r="C513" s="2" t="s">
        <v>14</v>
      </c>
      <c r="D513" s="3">
        <v>0.625</v>
      </c>
      <c r="E513" s="3">
        <v>0.79166666666666696</v>
      </c>
      <c r="F513" s="2" t="s">
        <v>129</v>
      </c>
      <c r="G513" s="2" t="s">
        <v>73</v>
      </c>
      <c r="H513" s="2">
        <v>5</v>
      </c>
      <c r="I513" s="2" t="s">
        <v>628</v>
      </c>
      <c r="J513" s="2" t="s">
        <v>629</v>
      </c>
      <c r="K513" s="2"/>
      <c r="L513" s="2" t="str">
        <f>IFERROR(VLOOKUP(IFERROR(VLOOKUP(C513,'Destination Alias'!$A:$B,2,FALSE()),C513),'Best Months'!$A:$B,2,FALSE()),"Not listed")</f>
        <v>Dec–Mar</v>
      </c>
    </row>
    <row r="514" spans="1:19" x14ac:dyDescent="0.3">
      <c r="A514" s="2" t="s">
        <v>627</v>
      </c>
      <c r="B514" s="2" t="s">
        <v>81</v>
      </c>
      <c r="C514" s="2" t="s">
        <v>14</v>
      </c>
      <c r="D514" s="3">
        <v>0.625</v>
      </c>
      <c r="E514" s="3">
        <v>0.79166666666666696</v>
      </c>
      <c r="F514" s="2" t="s">
        <v>129</v>
      </c>
      <c r="G514" s="2" t="s">
        <v>73</v>
      </c>
      <c r="H514" s="2">
        <v>4</v>
      </c>
      <c r="I514" s="2" t="s">
        <v>628</v>
      </c>
      <c r="J514" s="2" t="s">
        <v>629</v>
      </c>
      <c r="K514" s="2"/>
      <c r="L514" s="2" t="str">
        <f>IFERROR(VLOOKUP(IFERROR(VLOOKUP(C514,'Destination Alias'!$A:$B,2,FALSE()),C514),'Best Months'!$A:$B,2,FALSE()),"Not listed")</f>
        <v>Dec–Mar</v>
      </c>
    </row>
    <row r="515" spans="1:19" x14ac:dyDescent="0.3">
      <c r="A515" s="2" t="s">
        <v>627</v>
      </c>
      <c r="B515" s="2" t="s">
        <v>81</v>
      </c>
      <c r="C515" s="2" t="s">
        <v>14</v>
      </c>
      <c r="D515" s="3">
        <v>0.6875</v>
      </c>
      <c r="E515" s="3">
        <v>0.85416666666666696</v>
      </c>
      <c r="F515" s="2" t="s">
        <v>129</v>
      </c>
      <c r="G515" s="2" t="s">
        <v>73</v>
      </c>
      <c r="H515" s="2">
        <v>5</v>
      </c>
      <c r="I515" s="2" t="s">
        <v>628</v>
      </c>
      <c r="J515" s="2" t="s">
        <v>629</v>
      </c>
      <c r="K515" s="2"/>
      <c r="L515" s="2" t="str">
        <f>IFERROR(VLOOKUP(IFERROR(VLOOKUP(C515,'Destination Alias'!$A:$B,2,FALSE()),C515),'Best Months'!$A:$B,2,FALSE()),"Not listed")</f>
        <v>Dec–Mar</v>
      </c>
    </row>
    <row r="516" spans="1:19" x14ac:dyDescent="0.3">
      <c r="A516" s="2" t="s">
        <v>627</v>
      </c>
      <c r="B516" s="2" t="s">
        <v>81</v>
      </c>
      <c r="C516" s="2" t="s">
        <v>14</v>
      </c>
      <c r="D516" s="3">
        <v>0.22916666666666699</v>
      </c>
      <c r="E516" s="3">
        <v>0.39583333333333298</v>
      </c>
      <c r="F516" s="2" t="s">
        <v>129</v>
      </c>
      <c r="G516" s="2" t="s">
        <v>28</v>
      </c>
      <c r="H516" s="2">
        <v>4.7</v>
      </c>
      <c r="I516" s="2" t="s">
        <v>628</v>
      </c>
      <c r="J516" s="2" t="s">
        <v>629</v>
      </c>
      <c r="K516" s="2"/>
      <c r="L516" s="2" t="str">
        <f>IFERROR(VLOOKUP(IFERROR(VLOOKUP(C516,'Destination Alias'!$A:$B,2,FALSE()),C516),'Best Months'!$A:$B,2,FALSE()),"Not listed")</f>
        <v>Dec–Mar</v>
      </c>
    </row>
    <row r="517" spans="1:19" x14ac:dyDescent="0.3">
      <c r="A517" s="2" t="s">
        <v>630</v>
      </c>
      <c r="B517" s="2" t="s">
        <v>49</v>
      </c>
      <c r="C517" s="2" t="s">
        <v>44</v>
      </c>
      <c r="D517" s="3">
        <v>0.66666666666666696</v>
      </c>
      <c r="E517" s="3">
        <v>0.375</v>
      </c>
      <c r="F517" s="2" t="s">
        <v>631</v>
      </c>
      <c r="G517" s="2" t="s">
        <v>73</v>
      </c>
      <c r="H517" s="2">
        <v>4.5</v>
      </c>
      <c r="I517" s="2" t="s">
        <v>632</v>
      </c>
      <c r="J517" s="2" t="s">
        <v>633</v>
      </c>
      <c r="K517" s="4" t="s">
        <v>634</v>
      </c>
      <c r="L517" s="2" t="str">
        <f>IFERROR(VLOOKUP(IFERROR(VLOOKUP(C517,'Destination Alias'!$A:$B,2,FALSE()),C517),'Best Months'!$A:$B,2,FALSE()),"Not listed")</f>
        <v>Jan–Mar, Jul–Sep</v>
      </c>
      <c r="S517" t="s">
        <v>634</v>
      </c>
    </row>
    <row r="518" spans="1:19" x14ac:dyDescent="0.3">
      <c r="A518" s="2" t="s">
        <v>635</v>
      </c>
      <c r="B518" s="2" t="s">
        <v>22</v>
      </c>
      <c r="C518" s="2" t="s">
        <v>44</v>
      </c>
      <c r="D518" s="3">
        <v>0.70833333333333304</v>
      </c>
      <c r="E518" s="3">
        <v>0.71875</v>
      </c>
      <c r="F518" s="2" t="s">
        <v>636</v>
      </c>
      <c r="G518" s="2" t="s">
        <v>52</v>
      </c>
      <c r="H518" s="2">
        <v>4.5999999999999996</v>
      </c>
      <c r="I518" s="2" t="s">
        <v>637</v>
      </c>
      <c r="J518" s="2" t="s">
        <v>638</v>
      </c>
      <c r="K518" s="4" t="s">
        <v>639</v>
      </c>
      <c r="L518" s="2" t="str">
        <f>IFERROR(VLOOKUP(IFERROR(VLOOKUP(C518,'Destination Alias'!$A:$B,2,FALSE()),C518),'Best Months'!$A:$B,2,FALSE()),"Not listed")</f>
        <v>Jan–Mar, Jul–Sep</v>
      </c>
      <c r="S518" t="s">
        <v>639</v>
      </c>
    </row>
    <row r="519" spans="1:19" x14ac:dyDescent="0.3">
      <c r="A519" s="2" t="s">
        <v>635</v>
      </c>
      <c r="B519" s="2" t="s">
        <v>22</v>
      </c>
      <c r="C519" s="2" t="s">
        <v>44</v>
      </c>
      <c r="D519" s="3">
        <v>0.71875</v>
      </c>
      <c r="E519" s="3">
        <v>0.72916666666666696</v>
      </c>
      <c r="F519" s="2" t="s">
        <v>636</v>
      </c>
      <c r="G519" s="2" t="s">
        <v>52</v>
      </c>
      <c r="H519" s="2">
        <v>4.5999999999999996</v>
      </c>
      <c r="I519" s="2" t="s">
        <v>637</v>
      </c>
      <c r="J519" s="2" t="s">
        <v>638</v>
      </c>
      <c r="K519" s="4" t="s">
        <v>639</v>
      </c>
      <c r="L519" s="2" t="str">
        <f>IFERROR(VLOOKUP(IFERROR(VLOOKUP(C519,'Destination Alias'!$A:$B,2,FALSE()),C519),'Best Months'!$A:$B,2,FALSE()),"Not listed")</f>
        <v>Jan–Mar, Jul–Sep</v>
      </c>
      <c r="S519" t="s">
        <v>639</v>
      </c>
    </row>
    <row r="520" spans="1:19" x14ac:dyDescent="0.3">
      <c r="A520" s="2" t="s">
        <v>635</v>
      </c>
      <c r="B520" s="2" t="s">
        <v>22</v>
      </c>
      <c r="C520" s="2" t="s">
        <v>44</v>
      </c>
      <c r="D520" s="3">
        <v>0.72916666666666696</v>
      </c>
      <c r="E520" s="3">
        <v>0.73958333333333304</v>
      </c>
      <c r="F520" s="2" t="s">
        <v>636</v>
      </c>
      <c r="G520" s="2" t="s">
        <v>52</v>
      </c>
      <c r="H520" s="2">
        <v>4.5999999999999996</v>
      </c>
      <c r="I520" s="2" t="s">
        <v>637</v>
      </c>
      <c r="J520" s="2" t="s">
        <v>638</v>
      </c>
      <c r="K520" s="4" t="s">
        <v>639</v>
      </c>
      <c r="L520" s="2" t="str">
        <f>IFERROR(VLOOKUP(IFERROR(VLOOKUP(C520,'Destination Alias'!$A:$B,2,FALSE()),C520),'Best Months'!$A:$B,2,FALSE()),"Not listed")</f>
        <v>Jan–Mar, Jul–Sep</v>
      </c>
      <c r="S520" t="s">
        <v>639</v>
      </c>
    </row>
    <row r="521" spans="1:19" x14ac:dyDescent="0.3">
      <c r="A521" s="2" t="s">
        <v>635</v>
      </c>
      <c r="B521" s="2" t="s">
        <v>22</v>
      </c>
      <c r="C521" s="2" t="s">
        <v>44</v>
      </c>
      <c r="D521" s="3">
        <v>0.73958333333333304</v>
      </c>
      <c r="E521" s="3">
        <v>0.75</v>
      </c>
      <c r="F521" s="2" t="s">
        <v>636</v>
      </c>
      <c r="G521" s="2" t="s">
        <v>52</v>
      </c>
      <c r="H521" s="2">
        <v>4.5999999999999996</v>
      </c>
      <c r="I521" s="2" t="s">
        <v>637</v>
      </c>
      <c r="J521" s="2" t="s">
        <v>638</v>
      </c>
      <c r="K521" s="4" t="s">
        <v>639</v>
      </c>
      <c r="L521" s="2" t="str">
        <f>IFERROR(VLOOKUP(IFERROR(VLOOKUP(C521,'Destination Alias'!$A:$B,2,FALSE()),C521),'Best Months'!$A:$B,2,FALSE()),"Not listed")</f>
        <v>Jan–Mar, Jul–Sep</v>
      </c>
      <c r="S521" t="s">
        <v>639</v>
      </c>
    </row>
    <row r="522" spans="1:19" x14ac:dyDescent="0.3">
      <c r="A522" s="2" t="s">
        <v>635</v>
      </c>
      <c r="B522" s="2" t="s">
        <v>22</v>
      </c>
      <c r="C522" s="2" t="s">
        <v>44</v>
      </c>
      <c r="D522" s="3">
        <v>0.75</v>
      </c>
      <c r="E522" s="3">
        <v>0.76041666666666696</v>
      </c>
      <c r="F522" s="2" t="s">
        <v>636</v>
      </c>
      <c r="G522" s="2" t="s">
        <v>102</v>
      </c>
      <c r="H522" s="2">
        <v>4.5999999999999996</v>
      </c>
      <c r="I522" s="2" t="s">
        <v>637</v>
      </c>
      <c r="J522" s="2" t="s">
        <v>638</v>
      </c>
      <c r="K522" s="4" t="s">
        <v>639</v>
      </c>
      <c r="L522" s="2" t="str">
        <f>IFERROR(VLOOKUP(IFERROR(VLOOKUP(C522,'Destination Alias'!$A:$B,2,FALSE()),C522),'Best Months'!$A:$B,2,FALSE()),"Not listed")</f>
        <v>Jan–Mar, Jul–Sep</v>
      </c>
      <c r="S522" t="s">
        <v>639</v>
      </c>
    </row>
    <row r="523" spans="1:19" x14ac:dyDescent="0.3">
      <c r="A523" s="2" t="s">
        <v>635</v>
      </c>
      <c r="B523" s="2" t="s">
        <v>22</v>
      </c>
      <c r="C523" s="2" t="s">
        <v>44</v>
      </c>
      <c r="D523" s="3">
        <v>0.76041666666666696</v>
      </c>
      <c r="E523" s="3">
        <v>0.77083333333333304</v>
      </c>
      <c r="F523" s="2" t="s">
        <v>636</v>
      </c>
      <c r="G523" s="2" t="s">
        <v>102</v>
      </c>
      <c r="H523" s="2">
        <v>4.5999999999999996</v>
      </c>
      <c r="I523" s="2" t="s">
        <v>637</v>
      </c>
      <c r="J523" s="2" t="s">
        <v>638</v>
      </c>
      <c r="K523" s="4" t="s">
        <v>639</v>
      </c>
      <c r="L523" s="2" t="str">
        <f>IFERROR(VLOOKUP(IFERROR(VLOOKUP(C523,'Destination Alias'!$A:$B,2,FALSE()),C523),'Best Months'!$A:$B,2,FALSE()),"Not listed")</f>
        <v>Jan–Mar, Jul–Sep</v>
      </c>
      <c r="S523" t="s">
        <v>639</v>
      </c>
    </row>
    <row r="524" spans="1:19" x14ac:dyDescent="0.3">
      <c r="A524" s="2" t="s">
        <v>635</v>
      </c>
      <c r="B524" s="2" t="s">
        <v>22</v>
      </c>
      <c r="C524" s="2" t="s">
        <v>44</v>
      </c>
      <c r="D524" s="3">
        <v>0.77083333333333304</v>
      </c>
      <c r="E524" s="3">
        <v>0.78125</v>
      </c>
      <c r="F524" s="2" t="s">
        <v>636</v>
      </c>
      <c r="G524" s="2" t="s">
        <v>102</v>
      </c>
      <c r="H524" s="2">
        <v>4.5999999999999996</v>
      </c>
      <c r="I524" s="2" t="s">
        <v>637</v>
      </c>
      <c r="J524" s="2" t="s">
        <v>638</v>
      </c>
      <c r="K524" s="4" t="s">
        <v>639</v>
      </c>
      <c r="L524" s="2" t="str">
        <f>IFERROR(VLOOKUP(IFERROR(VLOOKUP(C524,'Destination Alias'!$A:$B,2,FALSE()),C524),'Best Months'!$A:$B,2,FALSE()),"Not listed")</f>
        <v>Jan–Mar, Jul–Sep</v>
      </c>
      <c r="S524" t="s">
        <v>639</v>
      </c>
    </row>
    <row r="525" spans="1:19" x14ac:dyDescent="0.3">
      <c r="A525" s="2" t="s">
        <v>635</v>
      </c>
      <c r="B525" s="2" t="s">
        <v>22</v>
      </c>
      <c r="C525" s="2" t="s">
        <v>44</v>
      </c>
      <c r="D525" s="3">
        <v>0.78125</v>
      </c>
      <c r="E525" s="3">
        <v>0.79166666666666696</v>
      </c>
      <c r="F525" s="2" t="s">
        <v>636</v>
      </c>
      <c r="G525" s="2" t="s">
        <v>102</v>
      </c>
      <c r="H525" s="2">
        <v>4.5999999999999996</v>
      </c>
      <c r="I525" s="2" t="s">
        <v>637</v>
      </c>
      <c r="J525" s="2" t="s">
        <v>638</v>
      </c>
      <c r="K525" s="4" t="s">
        <v>639</v>
      </c>
      <c r="L525" s="2" t="str">
        <f>IFERROR(VLOOKUP(IFERROR(VLOOKUP(C525,'Destination Alias'!$A:$B,2,FALSE()),C525),'Best Months'!$A:$B,2,FALSE()),"Not listed")</f>
        <v>Jan–Mar, Jul–Sep</v>
      </c>
      <c r="S525" t="s">
        <v>639</v>
      </c>
    </row>
    <row r="526" spans="1:19" x14ac:dyDescent="0.3">
      <c r="A526" s="2" t="s">
        <v>640</v>
      </c>
      <c r="B526" s="2" t="s">
        <v>49</v>
      </c>
      <c r="C526" s="2" t="s">
        <v>44</v>
      </c>
      <c r="D526" s="3">
        <v>0.22916666666666699</v>
      </c>
      <c r="E526" s="3">
        <v>0.27083333333333298</v>
      </c>
      <c r="F526" s="2" t="s">
        <v>35</v>
      </c>
      <c r="G526" s="2" t="s">
        <v>28</v>
      </c>
      <c r="H526" s="2">
        <v>4.5</v>
      </c>
      <c r="I526" s="2" t="s">
        <v>641</v>
      </c>
      <c r="J526" s="2" t="s">
        <v>642</v>
      </c>
      <c r="K526" s="4" t="s">
        <v>643</v>
      </c>
      <c r="L526" s="2" t="str">
        <f>IFERROR(VLOOKUP(IFERROR(VLOOKUP(C526,'Destination Alias'!$A:$B,2,FALSE()),C526),'Best Months'!$A:$B,2,FALSE()),"Not listed")</f>
        <v>Jan–Mar, Jul–Sep</v>
      </c>
      <c r="S526" t="s">
        <v>643</v>
      </c>
    </row>
    <row r="527" spans="1:19" x14ac:dyDescent="0.3">
      <c r="A527" s="2" t="s">
        <v>640</v>
      </c>
      <c r="B527" s="2" t="s">
        <v>49</v>
      </c>
      <c r="C527" s="2" t="s">
        <v>44</v>
      </c>
      <c r="D527" s="3">
        <v>0.27083333333333298</v>
      </c>
      <c r="E527" s="3">
        <v>0.3125</v>
      </c>
      <c r="F527" s="2" t="s">
        <v>35</v>
      </c>
      <c r="G527" s="2" t="s">
        <v>28</v>
      </c>
      <c r="H527" s="2">
        <v>4.5</v>
      </c>
      <c r="I527" s="2" t="s">
        <v>641</v>
      </c>
      <c r="J527" s="2" t="s">
        <v>642</v>
      </c>
      <c r="K527" s="4" t="s">
        <v>643</v>
      </c>
      <c r="L527" s="2" t="str">
        <f>IFERROR(VLOOKUP(IFERROR(VLOOKUP(C527,'Destination Alias'!$A:$B,2,FALSE()),C527),'Best Months'!$A:$B,2,FALSE()),"Not listed")</f>
        <v>Jan–Mar, Jul–Sep</v>
      </c>
      <c r="S527" t="s">
        <v>643</v>
      </c>
    </row>
    <row r="528" spans="1:19" x14ac:dyDescent="0.3">
      <c r="A528" s="2" t="s">
        <v>644</v>
      </c>
      <c r="B528" s="2" t="s">
        <v>13</v>
      </c>
      <c r="C528" s="2" t="s">
        <v>40</v>
      </c>
      <c r="D528" s="3">
        <v>0.3125</v>
      </c>
      <c r="E528" s="3">
        <v>0.4375</v>
      </c>
      <c r="F528" s="2" t="s">
        <v>61</v>
      </c>
      <c r="G528" s="2" t="s">
        <v>38</v>
      </c>
      <c r="H528" s="2">
        <v>4.4000000000000004</v>
      </c>
      <c r="I528" s="2" t="s">
        <v>645</v>
      </c>
      <c r="J528" s="2" t="s">
        <v>646</v>
      </c>
      <c r="K528" s="2" t="s">
        <v>647</v>
      </c>
      <c r="L528" s="2" t="str">
        <f>IFERROR(VLOOKUP(IFERROR(VLOOKUP(C528,'Destination Alias'!$A:$B,2,FALSE()),C528),'Best Months'!$A:$B,2,FALSE()),"Not listed")</f>
        <v>Jan–Mar, Jul–Aug</v>
      </c>
    </row>
    <row r="529" spans="1:19" x14ac:dyDescent="0.3">
      <c r="A529" s="2" t="s">
        <v>648</v>
      </c>
      <c r="B529" s="2" t="s">
        <v>81</v>
      </c>
      <c r="C529" s="2" t="s">
        <v>14</v>
      </c>
      <c r="D529" s="3">
        <v>0.27083333333333298</v>
      </c>
      <c r="E529" s="3">
        <v>0.35416666666666702</v>
      </c>
      <c r="F529" s="2" t="s">
        <v>51</v>
      </c>
      <c r="G529" s="2" t="s">
        <v>28</v>
      </c>
      <c r="H529" s="2">
        <v>4.5999999999999996</v>
      </c>
      <c r="I529" s="2" t="s">
        <v>649</v>
      </c>
      <c r="J529" s="2" t="s">
        <v>650</v>
      </c>
      <c r="K529" s="4" t="s">
        <v>651</v>
      </c>
      <c r="L529" s="2" t="str">
        <f>IFERROR(VLOOKUP(IFERROR(VLOOKUP(C529,'Destination Alias'!$A:$B,2,FALSE()),C529),'Best Months'!$A:$B,2,FALSE()),"Not listed")</f>
        <v>Dec–Mar</v>
      </c>
      <c r="S529" t="s">
        <v>651</v>
      </c>
    </row>
    <row r="530" spans="1:19" x14ac:dyDescent="0.3">
      <c r="A530" s="2" t="s">
        <v>652</v>
      </c>
      <c r="B530" s="2" t="s">
        <v>81</v>
      </c>
      <c r="C530" s="2" t="s">
        <v>27</v>
      </c>
      <c r="D530" s="3">
        <v>0.64583333333333304</v>
      </c>
      <c r="E530" s="3">
        <v>0.72916666666666696</v>
      </c>
      <c r="F530" s="2" t="s">
        <v>51</v>
      </c>
      <c r="G530" s="2" t="s">
        <v>73</v>
      </c>
      <c r="H530" s="2">
        <v>4.4000000000000004</v>
      </c>
      <c r="I530" s="2" t="s">
        <v>653</v>
      </c>
      <c r="J530" s="2" t="s">
        <v>654</v>
      </c>
      <c r="K530" s="2"/>
      <c r="L530" s="2" t="str">
        <f>IFERROR(VLOOKUP(IFERROR(VLOOKUP(C530,'Destination Alias'!$A:$B,2,FALSE()),C530),'Best Months'!$A:$B,2,FALSE()),"Not listed")</f>
        <v>May–Sep</v>
      </c>
    </row>
    <row r="531" spans="1:19" x14ac:dyDescent="0.3">
      <c r="A531" s="2" t="s">
        <v>655</v>
      </c>
      <c r="B531" s="2" t="s">
        <v>49</v>
      </c>
      <c r="C531" s="2" t="s">
        <v>44</v>
      </c>
      <c r="D531" s="3">
        <v>0.6875</v>
      </c>
      <c r="E531" s="3">
        <v>0.72916666666666696</v>
      </c>
      <c r="F531" s="2" t="s">
        <v>35</v>
      </c>
      <c r="G531" s="2" t="s">
        <v>73</v>
      </c>
      <c r="H531" s="2">
        <v>4.5</v>
      </c>
      <c r="I531" s="2" t="s">
        <v>656</v>
      </c>
      <c r="J531" s="2" t="s">
        <v>657</v>
      </c>
      <c r="K531" s="4" t="s">
        <v>658</v>
      </c>
      <c r="L531" s="2" t="str">
        <f>IFERROR(VLOOKUP(IFERROR(VLOOKUP(C531,'Destination Alias'!$A:$B,2,FALSE()),C531),'Best Months'!$A:$B,2,FALSE()),"Not listed")</f>
        <v>Jan–Mar, Jul–Sep</v>
      </c>
      <c r="S531" t="s">
        <v>658</v>
      </c>
    </row>
    <row r="532" spans="1:19" x14ac:dyDescent="0.3">
      <c r="A532" s="2" t="s">
        <v>655</v>
      </c>
      <c r="B532" s="2" t="s">
        <v>49</v>
      </c>
      <c r="C532" s="2" t="s">
        <v>44</v>
      </c>
      <c r="D532" s="3">
        <v>0.72916666666666696</v>
      </c>
      <c r="E532" s="3">
        <v>0.77083333333333304</v>
      </c>
      <c r="F532" s="2" t="s">
        <v>35</v>
      </c>
      <c r="G532" s="2" t="s">
        <v>52</v>
      </c>
      <c r="H532" s="2">
        <v>4.5</v>
      </c>
      <c r="I532" s="2" t="s">
        <v>656</v>
      </c>
      <c r="J532" s="2" t="s">
        <v>657</v>
      </c>
      <c r="K532" s="4" t="s">
        <v>658</v>
      </c>
      <c r="L532" s="2" t="str">
        <f>IFERROR(VLOOKUP(IFERROR(VLOOKUP(C532,'Destination Alias'!$A:$B,2,FALSE()),C532),'Best Months'!$A:$B,2,FALSE()),"Not listed")</f>
        <v>Jan–Mar, Jul–Sep</v>
      </c>
      <c r="S532" t="s">
        <v>658</v>
      </c>
    </row>
    <row r="533" spans="1:19" x14ac:dyDescent="0.3">
      <c r="A533" s="2" t="s">
        <v>659</v>
      </c>
      <c r="B533" s="2" t="s">
        <v>13</v>
      </c>
      <c r="C533" s="2" t="s">
        <v>40</v>
      </c>
      <c r="D533" s="3">
        <v>0.33333333333333298</v>
      </c>
      <c r="E533" s="3">
        <v>0.39583333333333298</v>
      </c>
      <c r="F533" s="2" t="s">
        <v>15</v>
      </c>
      <c r="G533" s="2" t="s">
        <v>16</v>
      </c>
      <c r="H533" s="2">
        <v>4.0999999999999996</v>
      </c>
      <c r="I533" s="2" t="s">
        <v>604</v>
      </c>
      <c r="J533" s="2" t="s">
        <v>660</v>
      </c>
      <c r="K533" s="4" t="s">
        <v>661</v>
      </c>
      <c r="L533" s="2" t="str">
        <f>IFERROR(VLOOKUP(IFERROR(VLOOKUP(C533,'Destination Alias'!$A:$B,2,FALSE()),C533),'Best Months'!$A:$B,2,FALSE()),"Not listed")</f>
        <v>Jan–Mar, Jul–Aug</v>
      </c>
      <c r="S533" t="s">
        <v>661</v>
      </c>
    </row>
    <row r="534" spans="1:19" x14ac:dyDescent="0.3">
      <c r="A534" s="2" t="s">
        <v>659</v>
      </c>
      <c r="B534" s="2" t="s">
        <v>13</v>
      </c>
      <c r="C534" s="2" t="s">
        <v>40</v>
      </c>
      <c r="D534" s="3">
        <v>0.39583333333333298</v>
      </c>
      <c r="E534" s="3">
        <v>0.45833333333333298</v>
      </c>
      <c r="F534" s="2" t="s">
        <v>15</v>
      </c>
      <c r="G534" s="2" t="s">
        <v>20</v>
      </c>
      <c r="H534" s="2">
        <v>4.0999999999999996</v>
      </c>
      <c r="I534" s="2" t="s">
        <v>604</v>
      </c>
      <c r="J534" s="2" t="s">
        <v>660</v>
      </c>
      <c r="K534" s="4" t="s">
        <v>661</v>
      </c>
      <c r="L534" s="2" t="str">
        <f>IFERROR(VLOOKUP(IFERROR(VLOOKUP(C534,'Destination Alias'!$A:$B,2,FALSE()),C534),'Best Months'!$A:$B,2,FALSE()),"Not listed")</f>
        <v>Jan–Mar, Jul–Aug</v>
      </c>
      <c r="S534" t="s">
        <v>661</v>
      </c>
    </row>
    <row r="535" spans="1:19" x14ac:dyDescent="0.3">
      <c r="A535" s="2" t="s">
        <v>662</v>
      </c>
      <c r="B535" s="2" t="s">
        <v>13</v>
      </c>
      <c r="C535" s="2" t="s">
        <v>297</v>
      </c>
      <c r="D535" s="3">
        <v>0.33333333333333298</v>
      </c>
      <c r="E535" s="3">
        <v>0.41666666666666702</v>
      </c>
      <c r="F535" s="2" t="s">
        <v>51</v>
      </c>
      <c r="G535" s="2" t="s">
        <v>16</v>
      </c>
      <c r="H535" s="2">
        <v>4.0999999999999996</v>
      </c>
      <c r="I535" s="2" t="s">
        <v>663</v>
      </c>
      <c r="J535" s="2" t="s">
        <v>664</v>
      </c>
      <c r="K535" s="2"/>
      <c r="L535" s="2" t="str">
        <f>IFERROR(VLOOKUP(IFERROR(VLOOKUP(C535,'Destination Alias'!$A:$B,2,FALSE()),C535),'Best Months'!$A:$B,2,FALSE()),"Not listed")</f>
        <v>Jan–Mar, Jul–Aug</v>
      </c>
    </row>
    <row r="536" spans="1:19" x14ac:dyDescent="0.3">
      <c r="A536" s="2" t="s">
        <v>665</v>
      </c>
      <c r="B536" s="2" t="s">
        <v>13</v>
      </c>
      <c r="C536" s="2" t="s">
        <v>213</v>
      </c>
      <c r="D536" s="3">
        <v>0.33333333333333298</v>
      </c>
      <c r="E536" s="3">
        <v>0.41666666666666702</v>
      </c>
      <c r="F536" s="2" t="s">
        <v>51</v>
      </c>
      <c r="G536" s="2" t="s">
        <v>16</v>
      </c>
      <c r="H536" s="2">
        <v>3.9</v>
      </c>
      <c r="I536" s="2" t="s">
        <v>666</v>
      </c>
      <c r="J536" s="2" t="s">
        <v>667</v>
      </c>
      <c r="K536" s="4" t="s">
        <v>668</v>
      </c>
      <c r="L536" s="2" t="str">
        <f>IFERROR(VLOOKUP(IFERROR(VLOOKUP(C536,'Destination Alias'!$A:$B,2,FALSE()),C536),'Best Months'!$A:$B,2,FALSE()),"Not listed")</f>
        <v>Jan–Mar</v>
      </c>
      <c r="S536" t="s">
        <v>668</v>
      </c>
    </row>
    <row r="537" spans="1:19" x14ac:dyDescent="0.3">
      <c r="A537" s="2" t="s">
        <v>669</v>
      </c>
      <c r="B537" s="2" t="s">
        <v>49</v>
      </c>
      <c r="C537" s="2" t="s">
        <v>163</v>
      </c>
      <c r="D537" s="3">
        <v>0.6875</v>
      </c>
      <c r="E537" s="3">
        <v>0.70833333333333304</v>
      </c>
      <c r="F537" s="2" t="s">
        <v>233</v>
      </c>
      <c r="G537" s="2" t="s">
        <v>73</v>
      </c>
      <c r="H537" s="2">
        <v>4.5</v>
      </c>
      <c r="I537" s="2" t="s">
        <v>670</v>
      </c>
      <c r="J537" s="2" t="s">
        <v>671</v>
      </c>
      <c r="K537" s="4" t="s">
        <v>672</v>
      </c>
      <c r="L537" s="2" t="str">
        <f>IFERROR(VLOOKUP(IFERROR(VLOOKUP(C537,'Destination Alias'!$A:$B,2,FALSE()),C537),'Best Months'!$A:$B,2,FALSE()),"Not listed")</f>
        <v>Dec–Mar</v>
      </c>
      <c r="S537" t="s">
        <v>672</v>
      </c>
    </row>
    <row r="538" spans="1:19" x14ac:dyDescent="0.3">
      <c r="A538" s="2" t="s">
        <v>669</v>
      </c>
      <c r="B538" s="2" t="s">
        <v>49</v>
      </c>
      <c r="C538" s="2" t="s">
        <v>163</v>
      </c>
      <c r="D538" s="3">
        <v>0.70833333333333304</v>
      </c>
      <c r="E538" s="3">
        <v>0.72916666666666696</v>
      </c>
      <c r="F538" s="2" t="s">
        <v>233</v>
      </c>
      <c r="G538" s="2" t="s">
        <v>52</v>
      </c>
      <c r="H538" s="2">
        <v>4.5</v>
      </c>
      <c r="I538" s="2" t="s">
        <v>670</v>
      </c>
      <c r="J538" s="2" t="s">
        <v>671</v>
      </c>
      <c r="K538" s="4" t="s">
        <v>672</v>
      </c>
      <c r="L538" s="2" t="str">
        <f>IFERROR(VLOOKUP(IFERROR(VLOOKUP(C538,'Destination Alias'!$A:$B,2,FALSE()),C538),'Best Months'!$A:$B,2,FALSE()),"Not listed")</f>
        <v>Dec–Mar</v>
      </c>
      <c r="S538" t="s">
        <v>672</v>
      </c>
    </row>
    <row r="539" spans="1:19" x14ac:dyDescent="0.3">
      <c r="A539" s="2" t="s">
        <v>669</v>
      </c>
      <c r="B539" s="2" t="s">
        <v>49</v>
      </c>
      <c r="C539" s="2" t="s">
        <v>163</v>
      </c>
      <c r="D539" s="3">
        <v>0.72916666666666696</v>
      </c>
      <c r="E539" s="3">
        <v>0.75</v>
      </c>
      <c r="F539" s="2" t="s">
        <v>233</v>
      </c>
      <c r="G539" s="2" t="s">
        <v>52</v>
      </c>
      <c r="H539" s="2">
        <v>4.5</v>
      </c>
      <c r="I539" s="2" t="s">
        <v>670</v>
      </c>
      <c r="J539" s="2" t="s">
        <v>671</v>
      </c>
      <c r="K539" s="4" t="s">
        <v>672</v>
      </c>
      <c r="L539" s="2" t="str">
        <f>IFERROR(VLOOKUP(IFERROR(VLOOKUP(C539,'Destination Alias'!$A:$B,2,FALSE()),C539),'Best Months'!$A:$B,2,FALSE()),"Not listed")</f>
        <v>Dec–Mar</v>
      </c>
      <c r="S539" t="s">
        <v>672</v>
      </c>
    </row>
    <row r="540" spans="1:19" x14ac:dyDescent="0.3">
      <c r="A540" s="2" t="s">
        <v>669</v>
      </c>
      <c r="B540" s="2" t="s">
        <v>49</v>
      </c>
      <c r="C540" s="2" t="s">
        <v>163</v>
      </c>
      <c r="D540" s="3">
        <v>0.75</v>
      </c>
      <c r="E540" s="3">
        <v>0.77083333333333304</v>
      </c>
      <c r="F540" s="2" t="s">
        <v>233</v>
      </c>
      <c r="G540" s="2" t="s">
        <v>102</v>
      </c>
      <c r="H540" s="2">
        <v>4.5</v>
      </c>
      <c r="I540" s="2" t="s">
        <v>670</v>
      </c>
      <c r="J540" s="2" t="s">
        <v>671</v>
      </c>
      <c r="K540" s="4" t="s">
        <v>672</v>
      </c>
      <c r="L540" s="2" t="str">
        <f>IFERROR(VLOOKUP(IFERROR(VLOOKUP(C540,'Destination Alias'!$A:$B,2,FALSE()),C540),'Best Months'!$A:$B,2,FALSE()),"Not listed")</f>
        <v>Dec–Mar</v>
      </c>
      <c r="S540" t="s">
        <v>672</v>
      </c>
    </row>
    <row r="541" spans="1:19" x14ac:dyDescent="0.3">
      <c r="A541" s="2" t="s">
        <v>673</v>
      </c>
      <c r="B541" s="2" t="s">
        <v>49</v>
      </c>
      <c r="C541" s="2" t="s">
        <v>14</v>
      </c>
      <c r="D541" s="3">
        <v>0.6875</v>
      </c>
      <c r="E541" s="3">
        <v>0.70833333333333304</v>
      </c>
      <c r="F541" s="2" t="s">
        <v>233</v>
      </c>
      <c r="G541" s="2" t="s">
        <v>73</v>
      </c>
      <c r="H541" s="2">
        <v>4.7</v>
      </c>
      <c r="I541" s="2" t="s">
        <v>674</v>
      </c>
      <c r="J541" s="2" t="s">
        <v>675</v>
      </c>
      <c r="K541" s="4" t="s">
        <v>676</v>
      </c>
      <c r="L541" s="2" t="str">
        <f>IFERROR(VLOOKUP(IFERROR(VLOOKUP(C541,'Destination Alias'!$A:$B,2,FALSE()),C541),'Best Months'!$A:$B,2,FALSE()),"Not listed")</f>
        <v>Dec–Mar</v>
      </c>
      <c r="S541" t="s">
        <v>676</v>
      </c>
    </row>
    <row r="542" spans="1:19" x14ac:dyDescent="0.3">
      <c r="A542" s="2" t="s">
        <v>673</v>
      </c>
      <c r="B542" s="2" t="s">
        <v>49</v>
      </c>
      <c r="C542" s="2" t="s">
        <v>14</v>
      </c>
      <c r="D542" s="3">
        <v>0.70833333333333304</v>
      </c>
      <c r="E542" s="3">
        <v>0.72916666666666696</v>
      </c>
      <c r="F542" s="2" t="s">
        <v>233</v>
      </c>
      <c r="G542" s="2" t="s">
        <v>52</v>
      </c>
      <c r="H542" s="2">
        <v>4.7</v>
      </c>
      <c r="I542" s="2" t="s">
        <v>674</v>
      </c>
      <c r="J542" s="2" t="s">
        <v>675</v>
      </c>
      <c r="K542" s="4" t="s">
        <v>676</v>
      </c>
      <c r="L542" s="2" t="str">
        <f>IFERROR(VLOOKUP(IFERROR(VLOOKUP(C542,'Destination Alias'!$A:$B,2,FALSE()),C542),'Best Months'!$A:$B,2,FALSE()),"Not listed")</f>
        <v>Dec–Mar</v>
      </c>
      <c r="S542" t="s">
        <v>676</v>
      </c>
    </row>
    <row r="543" spans="1:19" x14ac:dyDescent="0.3">
      <c r="A543" s="2" t="s">
        <v>673</v>
      </c>
      <c r="B543" s="2" t="s">
        <v>49</v>
      </c>
      <c r="C543" s="2" t="s">
        <v>14</v>
      </c>
      <c r="D543" s="3">
        <v>0.72916666666666696</v>
      </c>
      <c r="E543" s="3">
        <v>0.75</v>
      </c>
      <c r="F543" s="2" t="s">
        <v>233</v>
      </c>
      <c r="G543" s="2" t="s">
        <v>52</v>
      </c>
      <c r="H543" s="2">
        <v>4.7</v>
      </c>
      <c r="I543" s="2" t="s">
        <v>674</v>
      </c>
      <c r="J543" s="2" t="s">
        <v>675</v>
      </c>
      <c r="K543" s="4" t="s">
        <v>676</v>
      </c>
      <c r="L543" s="2" t="str">
        <f>IFERROR(VLOOKUP(IFERROR(VLOOKUP(C543,'Destination Alias'!$A:$B,2,FALSE()),C543),'Best Months'!$A:$B,2,FALSE()),"Not listed")</f>
        <v>Dec–Mar</v>
      </c>
      <c r="S543" t="s">
        <v>676</v>
      </c>
    </row>
    <row r="544" spans="1:19" x14ac:dyDescent="0.3">
      <c r="A544" s="2" t="s">
        <v>673</v>
      </c>
      <c r="B544" s="2" t="s">
        <v>49</v>
      </c>
      <c r="C544" s="2" t="s">
        <v>14</v>
      </c>
      <c r="D544" s="3">
        <v>0.75</v>
      </c>
      <c r="E544" s="3">
        <v>0.77083333333333304</v>
      </c>
      <c r="F544" s="2" t="s">
        <v>233</v>
      </c>
      <c r="G544" s="2" t="s">
        <v>102</v>
      </c>
      <c r="H544" s="2">
        <v>4.7</v>
      </c>
      <c r="I544" s="2" t="s">
        <v>674</v>
      </c>
      <c r="J544" s="2" t="s">
        <v>675</v>
      </c>
      <c r="K544" s="4" t="s">
        <v>676</v>
      </c>
      <c r="L544" s="2" t="str">
        <f>IFERROR(VLOOKUP(IFERROR(VLOOKUP(C544,'Destination Alias'!$A:$B,2,FALSE()),C544),'Best Months'!$A:$B,2,FALSE()),"Not listed")</f>
        <v>Dec–Mar</v>
      </c>
      <c r="S544" t="s">
        <v>676</v>
      </c>
    </row>
    <row r="545" spans="1:19" x14ac:dyDescent="0.3">
      <c r="A545" s="2" t="s">
        <v>677</v>
      </c>
      <c r="B545" s="2" t="s">
        <v>49</v>
      </c>
      <c r="C545" s="2" t="s">
        <v>50</v>
      </c>
      <c r="D545" s="3">
        <v>0.66666666666666696</v>
      </c>
      <c r="E545" s="3">
        <v>0.72916666666666696</v>
      </c>
      <c r="F545" s="2" t="s">
        <v>15</v>
      </c>
      <c r="G545" s="2" t="s">
        <v>73</v>
      </c>
      <c r="H545" s="2">
        <v>4.5</v>
      </c>
      <c r="I545" s="2" t="s">
        <v>678</v>
      </c>
      <c r="J545" s="2" t="s">
        <v>679</v>
      </c>
      <c r="K545" s="2"/>
      <c r="L545" s="2" t="str">
        <f>IFERROR(VLOOKUP(IFERROR(VLOOKUP(C545,'Destination Alias'!$A:$B,2,FALSE()),C545),'Best Months'!$A:$B,2,FALSE()),"Not listed")</f>
        <v>Dec–Mar</v>
      </c>
    </row>
    <row r="546" spans="1:19" x14ac:dyDescent="0.3">
      <c r="A546" s="2" t="s">
        <v>677</v>
      </c>
      <c r="B546" s="2" t="s">
        <v>49</v>
      </c>
      <c r="C546" s="2" t="s">
        <v>50</v>
      </c>
      <c r="D546" s="3">
        <v>0.72916666666666696</v>
      </c>
      <c r="E546" s="3">
        <v>0.79166666666666696</v>
      </c>
      <c r="F546" s="2" t="s">
        <v>15</v>
      </c>
      <c r="G546" s="2" t="s">
        <v>52</v>
      </c>
      <c r="H546" s="2">
        <v>4.5</v>
      </c>
      <c r="I546" s="2" t="s">
        <v>678</v>
      </c>
      <c r="J546" s="2" t="s">
        <v>679</v>
      </c>
      <c r="K546" s="2"/>
      <c r="L546" s="2" t="str">
        <f>IFERROR(VLOOKUP(IFERROR(VLOOKUP(C546,'Destination Alias'!$A:$B,2,FALSE()),C546),'Best Months'!$A:$B,2,FALSE()),"Not listed")</f>
        <v>Dec–Mar</v>
      </c>
    </row>
    <row r="547" spans="1:19" x14ac:dyDescent="0.3">
      <c r="A547" s="2" t="s">
        <v>680</v>
      </c>
      <c r="B547" s="2" t="s">
        <v>13</v>
      </c>
      <c r="C547" s="2" t="s">
        <v>323</v>
      </c>
      <c r="D547" s="3">
        <v>0.20833333333333301</v>
      </c>
      <c r="E547" s="3">
        <v>0.29166666666666702</v>
      </c>
      <c r="F547" s="2" t="s">
        <v>51</v>
      </c>
      <c r="G547" s="2" t="s">
        <v>28</v>
      </c>
      <c r="H547" s="2">
        <v>4.5999999999999996</v>
      </c>
      <c r="I547" s="2" t="s">
        <v>681</v>
      </c>
      <c r="J547" s="2" t="s">
        <v>682</v>
      </c>
      <c r="K547" s="2"/>
      <c r="L547" s="2" t="str">
        <f>IFERROR(VLOOKUP(IFERROR(VLOOKUP(C547,'Destination Alias'!$A:$B,2,FALSE()),C547),'Best Months'!$A:$B,2,FALSE()),"Not listed")</f>
        <v>Jan–Mar, Jul–Aug</v>
      </c>
    </row>
    <row r="548" spans="1:19" x14ac:dyDescent="0.3">
      <c r="A548" s="2" t="s">
        <v>680</v>
      </c>
      <c r="B548" s="2" t="s">
        <v>13</v>
      </c>
      <c r="C548" s="2" t="s">
        <v>323</v>
      </c>
      <c r="D548" s="3">
        <v>0.22916666666666699</v>
      </c>
      <c r="E548" s="3">
        <v>0.3125</v>
      </c>
      <c r="F548" s="2" t="s">
        <v>51</v>
      </c>
      <c r="G548" s="2" t="s">
        <v>28</v>
      </c>
      <c r="H548" s="2">
        <v>5</v>
      </c>
      <c r="I548" s="2" t="s">
        <v>681</v>
      </c>
      <c r="J548" s="2" t="s">
        <v>682</v>
      </c>
      <c r="K548" s="2"/>
      <c r="L548" s="2" t="str">
        <f>IFERROR(VLOOKUP(IFERROR(VLOOKUP(C548,'Destination Alias'!$A:$B,2,FALSE()),C548),'Best Months'!$A:$B,2,FALSE()),"Not listed")</f>
        <v>Jan–Mar, Jul–Aug</v>
      </c>
    </row>
    <row r="549" spans="1:19" x14ac:dyDescent="0.3">
      <c r="A549" s="2" t="s">
        <v>680</v>
      </c>
      <c r="B549" s="2" t="s">
        <v>13</v>
      </c>
      <c r="C549" s="2" t="s">
        <v>323</v>
      </c>
      <c r="D549" s="3">
        <v>0.25</v>
      </c>
      <c r="E549" s="3">
        <v>0.33333333333333298</v>
      </c>
      <c r="F549" s="2" t="s">
        <v>51</v>
      </c>
      <c r="G549" s="2" t="s">
        <v>28</v>
      </c>
      <c r="H549" s="2">
        <v>5</v>
      </c>
      <c r="I549" s="2" t="s">
        <v>681</v>
      </c>
      <c r="J549" s="2" t="s">
        <v>682</v>
      </c>
      <c r="K549" s="2"/>
      <c r="L549" s="2" t="str">
        <f>IFERROR(VLOOKUP(IFERROR(VLOOKUP(C549,'Destination Alias'!$A:$B,2,FALSE()),C549),'Best Months'!$A:$B,2,FALSE()),"Not listed")</f>
        <v>Jan–Mar, Jul–Aug</v>
      </c>
    </row>
    <row r="550" spans="1:19" x14ac:dyDescent="0.3">
      <c r="A550" s="2" t="s">
        <v>680</v>
      </c>
      <c r="B550" s="2" t="s">
        <v>13</v>
      </c>
      <c r="C550" s="2" t="s">
        <v>323</v>
      </c>
      <c r="D550" s="3">
        <v>0.33333333333333298</v>
      </c>
      <c r="E550" s="3">
        <v>0.41666666666666702</v>
      </c>
      <c r="F550" s="2" t="s">
        <v>51</v>
      </c>
      <c r="G550" s="2" t="s">
        <v>16</v>
      </c>
      <c r="H550" s="2">
        <v>5</v>
      </c>
      <c r="I550" s="2" t="s">
        <v>681</v>
      </c>
      <c r="J550" s="2" t="s">
        <v>682</v>
      </c>
      <c r="K550" s="2"/>
      <c r="L550" s="2" t="str">
        <f>IFERROR(VLOOKUP(IFERROR(VLOOKUP(C550,'Destination Alias'!$A:$B,2,FALSE()),C550),'Best Months'!$A:$B,2,FALSE()),"Not listed")</f>
        <v>Jan–Mar, Jul–Aug</v>
      </c>
    </row>
    <row r="551" spans="1:19" x14ac:dyDescent="0.3">
      <c r="A551" s="2" t="s">
        <v>680</v>
      </c>
      <c r="B551" s="2" t="s">
        <v>13</v>
      </c>
      <c r="C551" s="2" t="s">
        <v>323</v>
      </c>
      <c r="D551" s="3">
        <v>0.22916666666666699</v>
      </c>
      <c r="E551" s="3">
        <v>0.29166666666666702</v>
      </c>
      <c r="F551" s="2" t="s">
        <v>51</v>
      </c>
      <c r="G551" s="2" t="s">
        <v>28</v>
      </c>
      <c r="H551" s="2">
        <v>4.5999999999999996</v>
      </c>
      <c r="I551" s="2" t="s">
        <v>681</v>
      </c>
      <c r="J551" s="2" t="s">
        <v>682</v>
      </c>
      <c r="K551" s="2"/>
      <c r="L551" s="2" t="str">
        <f>IFERROR(VLOOKUP(IFERROR(VLOOKUP(C551,'Destination Alias'!$A:$B,2,FALSE()),C551),'Best Months'!$A:$B,2,FALSE()),"Not listed")</f>
        <v>Jan–Mar, Jul–Aug</v>
      </c>
    </row>
    <row r="552" spans="1:19" x14ac:dyDescent="0.3">
      <c r="A552" s="2" t="s">
        <v>680</v>
      </c>
      <c r="B552" s="2" t="s">
        <v>13</v>
      </c>
      <c r="C552" s="2" t="s">
        <v>323</v>
      </c>
      <c r="D552" s="3">
        <v>0.70833333333333304</v>
      </c>
      <c r="E552" s="3">
        <v>0.77083333333333304</v>
      </c>
      <c r="F552" s="2" t="s">
        <v>51</v>
      </c>
      <c r="G552" s="2" t="s">
        <v>52</v>
      </c>
      <c r="H552" s="2">
        <v>4.5999999999999996</v>
      </c>
      <c r="I552" s="2" t="s">
        <v>681</v>
      </c>
      <c r="J552" s="2" t="s">
        <v>682</v>
      </c>
      <c r="K552" s="2"/>
      <c r="L552" s="2" t="str">
        <f>IFERROR(VLOOKUP(IFERROR(VLOOKUP(C552,'Destination Alias'!$A:$B,2,FALSE()),C552),'Best Months'!$A:$B,2,FALSE()),"Not listed")</f>
        <v>Jan–Mar, Jul–Aug</v>
      </c>
    </row>
    <row r="553" spans="1:19" x14ac:dyDescent="0.3">
      <c r="A553" s="2" t="s">
        <v>680</v>
      </c>
      <c r="B553" s="2" t="s">
        <v>13</v>
      </c>
      <c r="C553" s="2" t="s">
        <v>323</v>
      </c>
      <c r="D553" s="3">
        <v>0.25</v>
      </c>
      <c r="E553" s="3">
        <v>0.33333333333333298</v>
      </c>
      <c r="F553" s="2" t="s">
        <v>51</v>
      </c>
      <c r="G553" s="2" t="s">
        <v>28</v>
      </c>
      <c r="H553" s="2">
        <v>4.5999999999999996</v>
      </c>
      <c r="I553" s="2" t="s">
        <v>681</v>
      </c>
      <c r="J553" s="2" t="s">
        <v>682</v>
      </c>
      <c r="K553" s="2"/>
      <c r="L553" s="2" t="str">
        <f>IFERROR(VLOOKUP(IFERROR(VLOOKUP(C553,'Destination Alias'!$A:$B,2,FALSE()),C553),'Best Months'!$A:$B,2,FALSE()),"Not listed")</f>
        <v>Jan–Mar, Jul–Aug</v>
      </c>
    </row>
    <row r="554" spans="1:19" x14ac:dyDescent="0.3">
      <c r="A554" s="2" t="s">
        <v>683</v>
      </c>
      <c r="B554" s="2" t="s">
        <v>13</v>
      </c>
      <c r="C554" s="2" t="s">
        <v>213</v>
      </c>
      <c r="D554" s="3">
        <v>0.27083333333333298</v>
      </c>
      <c r="E554" s="3">
        <v>0.35416666666666702</v>
      </c>
      <c r="F554" s="2" t="s">
        <v>51</v>
      </c>
      <c r="G554" s="2" t="s">
        <v>28</v>
      </c>
      <c r="H554" s="2">
        <v>4</v>
      </c>
      <c r="I554" s="2" t="s">
        <v>684</v>
      </c>
      <c r="J554" s="2" t="s">
        <v>685</v>
      </c>
      <c r="K554" s="4" t="s">
        <v>686</v>
      </c>
      <c r="L554" s="2" t="str">
        <f>IFERROR(VLOOKUP(IFERROR(VLOOKUP(C554,'Destination Alias'!$A:$B,2,FALSE()),C554),'Best Months'!$A:$B,2,FALSE()),"Not listed")</f>
        <v>Jan–Mar</v>
      </c>
      <c r="S554" t="s">
        <v>686</v>
      </c>
    </row>
    <row r="555" spans="1:19" x14ac:dyDescent="0.3">
      <c r="A555" s="2" t="s">
        <v>683</v>
      </c>
      <c r="B555" s="2" t="s">
        <v>13</v>
      </c>
      <c r="C555" s="2" t="s">
        <v>213</v>
      </c>
      <c r="D555" s="3">
        <v>0.27083333333333298</v>
      </c>
      <c r="E555" s="3">
        <v>0.35416666666666702</v>
      </c>
      <c r="F555" s="2" t="s">
        <v>51</v>
      </c>
      <c r="G555" s="2" t="s">
        <v>28</v>
      </c>
      <c r="H555" s="2">
        <v>4</v>
      </c>
      <c r="I555" s="2" t="s">
        <v>684</v>
      </c>
      <c r="J555" s="2" t="s">
        <v>685</v>
      </c>
      <c r="K555" s="4" t="s">
        <v>686</v>
      </c>
      <c r="L555" s="2" t="str">
        <f>IFERROR(VLOOKUP(IFERROR(VLOOKUP(C555,'Destination Alias'!$A:$B,2,FALSE()),C555),'Best Months'!$A:$B,2,FALSE()),"Not listed")</f>
        <v>Jan–Mar</v>
      </c>
      <c r="S555" t="s">
        <v>686</v>
      </c>
    </row>
    <row r="556" spans="1:19" x14ac:dyDescent="0.3">
      <c r="A556" s="2" t="s">
        <v>683</v>
      </c>
      <c r="B556" s="2" t="s">
        <v>13</v>
      </c>
      <c r="C556" s="2" t="s">
        <v>213</v>
      </c>
      <c r="D556" s="3">
        <v>0.35416666666666702</v>
      </c>
      <c r="E556" s="3">
        <v>0.4375</v>
      </c>
      <c r="F556" s="2" t="s">
        <v>51</v>
      </c>
      <c r="G556" s="2" t="s">
        <v>16</v>
      </c>
      <c r="H556" s="2">
        <v>3</v>
      </c>
      <c r="I556" s="2" t="s">
        <v>684</v>
      </c>
      <c r="J556" s="2" t="s">
        <v>685</v>
      </c>
      <c r="K556" s="4" t="s">
        <v>686</v>
      </c>
      <c r="L556" s="2" t="str">
        <f>IFERROR(VLOOKUP(IFERROR(VLOOKUP(C556,'Destination Alias'!$A:$B,2,FALSE()),C556),'Best Months'!$A:$B,2,FALSE()),"Not listed")</f>
        <v>Jan–Mar</v>
      </c>
      <c r="S556" t="s">
        <v>686</v>
      </c>
    </row>
    <row r="557" spans="1:19" x14ac:dyDescent="0.3">
      <c r="A557" s="2" t="s">
        <v>683</v>
      </c>
      <c r="B557" s="2" t="s">
        <v>13</v>
      </c>
      <c r="C557" s="2" t="s">
        <v>213</v>
      </c>
      <c r="D557" s="3">
        <v>0.625</v>
      </c>
      <c r="E557" s="3">
        <v>0.70833333333333304</v>
      </c>
      <c r="F557" s="2" t="s">
        <v>51</v>
      </c>
      <c r="G557" s="2" t="s">
        <v>73</v>
      </c>
      <c r="H557" s="2">
        <v>4</v>
      </c>
      <c r="I557" s="2" t="s">
        <v>684</v>
      </c>
      <c r="J557" s="2" t="s">
        <v>685</v>
      </c>
      <c r="K557" s="4" t="s">
        <v>686</v>
      </c>
      <c r="L557" s="2" t="str">
        <f>IFERROR(VLOOKUP(IFERROR(VLOOKUP(C557,'Destination Alias'!$A:$B,2,FALSE()),C557),'Best Months'!$A:$B,2,FALSE()),"Not listed")</f>
        <v>Jan–Mar</v>
      </c>
      <c r="S557" t="s">
        <v>686</v>
      </c>
    </row>
    <row r="558" spans="1:19" x14ac:dyDescent="0.3">
      <c r="A558" s="2" t="s">
        <v>683</v>
      </c>
      <c r="B558" s="2" t="s">
        <v>13</v>
      </c>
      <c r="C558" s="2" t="s">
        <v>213</v>
      </c>
      <c r="D558" s="3">
        <v>0.6875</v>
      </c>
      <c r="E558" s="3">
        <v>0.77083333333333304</v>
      </c>
      <c r="F558" s="2" t="s">
        <v>51</v>
      </c>
      <c r="G558" s="2" t="s">
        <v>73</v>
      </c>
      <c r="H558" s="2">
        <v>4</v>
      </c>
      <c r="I558" s="2" t="s">
        <v>684</v>
      </c>
      <c r="J558" s="2" t="s">
        <v>685</v>
      </c>
      <c r="K558" s="4" t="s">
        <v>686</v>
      </c>
      <c r="L558" s="2" t="str">
        <f>IFERROR(VLOOKUP(IFERROR(VLOOKUP(C558,'Destination Alias'!$A:$B,2,FALSE()),C558),'Best Months'!$A:$B,2,FALSE()),"Not listed")</f>
        <v>Jan–Mar</v>
      </c>
      <c r="S558" t="s">
        <v>686</v>
      </c>
    </row>
    <row r="559" spans="1:19" x14ac:dyDescent="0.3">
      <c r="A559" s="2" t="s">
        <v>683</v>
      </c>
      <c r="B559" s="2" t="s">
        <v>13</v>
      </c>
      <c r="C559" s="2" t="s">
        <v>213</v>
      </c>
      <c r="D559" s="3">
        <v>0.72916666666666696</v>
      </c>
      <c r="E559" s="3">
        <v>0.8125</v>
      </c>
      <c r="F559" s="2" t="s">
        <v>51</v>
      </c>
      <c r="G559" s="2" t="s">
        <v>52</v>
      </c>
      <c r="H559" s="2">
        <v>4</v>
      </c>
      <c r="I559" s="2" t="s">
        <v>684</v>
      </c>
      <c r="J559" s="2" t="s">
        <v>685</v>
      </c>
      <c r="K559" s="4" t="s">
        <v>686</v>
      </c>
      <c r="L559" s="2" t="str">
        <f>IFERROR(VLOOKUP(IFERROR(VLOOKUP(C559,'Destination Alias'!$A:$B,2,FALSE()),C559),'Best Months'!$A:$B,2,FALSE()),"Not listed")</f>
        <v>Jan–Mar</v>
      </c>
      <c r="S559" t="s">
        <v>686</v>
      </c>
    </row>
    <row r="560" spans="1:19" x14ac:dyDescent="0.3">
      <c r="A560" s="2" t="s">
        <v>683</v>
      </c>
      <c r="B560" s="2" t="s">
        <v>13</v>
      </c>
      <c r="C560" s="2" t="s">
        <v>213</v>
      </c>
      <c r="D560" s="3">
        <v>0.75</v>
      </c>
      <c r="E560" s="3">
        <v>0.83333333333333304</v>
      </c>
      <c r="F560" s="2" t="s">
        <v>51</v>
      </c>
      <c r="G560" s="2" t="s">
        <v>102</v>
      </c>
      <c r="H560" s="2">
        <v>5</v>
      </c>
      <c r="I560" s="2" t="s">
        <v>684</v>
      </c>
      <c r="J560" s="2" t="s">
        <v>685</v>
      </c>
      <c r="K560" s="4" t="s">
        <v>686</v>
      </c>
      <c r="L560" s="2" t="str">
        <f>IFERROR(VLOOKUP(IFERROR(VLOOKUP(C560,'Destination Alias'!$A:$B,2,FALSE()),C560),'Best Months'!$A:$B,2,FALSE()),"Not listed")</f>
        <v>Jan–Mar</v>
      </c>
      <c r="S560" t="s">
        <v>686</v>
      </c>
    </row>
    <row r="561" spans="1:19" x14ac:dyDescent="0.3">
      <c r="A561" s="2" t="s">
        <v>683</v>
      </c>
      <c r="B561" s="2" t="s">
        <v>13</v>
      </c>
      <c r="C561" s="2" t="s">
        <v>213</v>
      </c>
      <c r="D561" s="3">
        <v>0.3125</v>
      </c>
      <c r="E561" s="3">
        <v>0.39583333333333298</v>
      </c>
      <c r="F561" s="2" t="s">
        <v>51</v>
      </c>
      <c r="G561" s="2" t="s">
        <v>38</v>
      </c>
      <c r="H561" s="2">
        <v>3.9</v>
      </c>
      <c r="I561" s="2" t="s">
        <v>684</v>
      </c>
      <c r="J561" s="2" t="s">
        <v>685</v>
      </c>
      <c r="K561" s="4" t="s">
        <v>686</v>
      </c>
      <c r="L561" s="2" t="str">
        <f>IFERROR(VLOOKUP(IFERROR(VLOOKUP(C561,'Destination Alias'!$A:$B,2,FALSE()),C561),'Best Months'!$A:$B,2,FALSE()),"Not listed")</f>
        <v>Jan–Mar</v>
      </c>
      <c r="S561" t="s">
        <v>686</v>
      </c>
    </row>
    <row r="562" spans="1:19" x14ac:dyDescent="0.3">
      <c r="A562" s="2" t="s">
        <v>687</v>
      </c>
      <c r="B562" s="2" t="s">
        <v>49</v>
      </c>
      <c r="C562" s="2" t="s">
        <v>108</v>
      </c>
      <c r="D562" s="3">
        <v>0.375</v>
      </c>
      <c r="E562" s="3">
        <v>0.41666666666666702</v>
      </c>
      <c r="F562" s="2" t="s">
        <v>35</v>
      </c>
      <c r="G562" s="2" t="s">
        <v>20</v>
      </c>
      <c r="H562" s="2">
        <v>4.5</v>
      </c>
      <c r="I562" s="2" t="s">
        <v>688</v>
      </c>
      <c r="J562" s="2" t="s">
        <v>689</v>
      </c>
      <c r="K562" s="4" t="s">
        <v>690</v>
      </c>
      <c r="L562" s="2" t="str">
        <f>IFERROR(VLOOKUP(IFERROR(VLOOKUP(C562,'Destination Alias'!$A:$B,2,FALSE()),C562),'Best Months'!$A:$B,2,FALSE()),"Not listed")</f>
        <v>Jan–Mar, Jul–Aug</v>
      </c>
      <c r="S562" t="s">
        <v>690</v>
      </c>
    </row>
    <row r="563" spans="1:19" x14ac:dyDescent="0.3">
      <c r="A563" s="2" t="s">
        <v>687</v>
      </c>
      <c r="B563" s="2" t="s">
        <v>49</v>
      </c>
      <c r="C563" s="2" t="s">
        <v>108</v>
      </c>
      <c r="D563" s="3">
        <v>0.41666666666666702</v>
      </c>
      <c r="E563" s="3">
        <v>0.45833333333333298</v>
      </c>
      <c r="F563" s="2" t="s">
        <v>35</v>
      </c>
      <c r="G563" s="2" t="s">
        <v>20</v>
      </c>
      <c r="H563" s="2">
        <v>4.5</v>
      </c>
      <c r="I563" s="2" t="s">
        <v>688</v>
      </c>
      <c r="J563" s="2" t="s">
        <v>689</v>
      </c>
      <c r="K563" s="4" t="s">
        <v>690</v>
      </c>
      <c r="L563" s="2" t="str">
        <f>IFERROR(VLOOKUP(IFERROR(VLOOKUP(C563,'Destination Alias'!$A:$B,2,FALSE()),C563),'Best Months'!$A:$B,2,FALSE()),"Not listed")</f>
        <v>Jan–Mar, Jul–Aug</v>
      </c>
      <c r="S563" t="s">
        <v>690</v>
      </c>
    </row>
    <row r="564" spans="1:19" x14ac:dyDescent="0.3">
      <c r="A564" s="2" t="s">
        <v>687</v>
      </c>
      <c r="B564" s="2" t="s">
        <v>49</v>
      </c>
      <c r="C564" s="2" t="s">
        <v>108</v>
      </c>
      <c r="D564" s="3">
        <v>0.45833333333333298</v>
      </c>
      <c r="E564" s="3">
        <v>0.5</v>
      </c>
      <c r="F564" s="2" t="s">
        <v>35</v>
      </c>
      <c r="G564" s="2" t="s">
        <v>220</v>
      </c>
      <c r="H564" s="2">
        <v>4.5</v>
      </c>
      <c r="I564" s="2" t="s">
        <v>688</v>
      </c>
      <c r="J564" s="2" t="s">
        <v>689</v>
      </c>
      <c r="K564" s="4" t="s">
        <v>690</v>
      </c>
      <c r="L564" s="2" t="str">
        <f>IFERROR(VLOOKUP(IFERROR(VLOOKUP(C564,'Destination Alias'!$A:$B,2,FALSE()),C564),'Best Months'!$A:$B,2,FALSE()),"Not listed")</f>
        <v>Jan–Mar, Jul–Aug</v>
      </c>
      <c r="S564" t="s">
        <v>690</v>
      </c>
    </row>
    <row r="565" spans="1:19" x14ac:dyDescent="0.3">
      <c r="A565" s="2" t="s">
        <v>691</v>
      </c>
      <c r="B565" s="2" t="s">
        <v>13</v>
      </c>
      <c r="C565" s="2" t="s">
        <v>137</v>
      </c>
      <c r="D565" s="3">
        <v>0.33333333333333298</v>
      </c>
      <c r="E565" s="3">
        <v>0.39583333333333298</v>
      </c>
      <c r="F565" s="2" t="s">
        <v>15</v>
      </c>
      <c r="G565" s="2" t="s">
        <v>16</v>
      </c>
      <c r="H565" s="2">
        <v>4</v>
      </c>
      <c r="I565" s="2" t="s">
        <v>604</v>
      </c>
      <c r="J565" s="2" t="s">
        <v>692</v>
      </c>
      <c r="K565" s="4" t="s">
        <v>693</v>
      </c>
      <c r="L565" s="2" t="str">
        <f>IFERROR(VLOOKUP(IFERROR(VLOOKUP(C565,'Destination Alias'!$A:$B,2,FALSE()),C565),'Best Months'!$A:$B,2,FALSE()),"Not listed")</f>
        <v>Jan–Mar</v>
      </c>
      <c r="S565" t="s">
        <v>693</v>
      </c>
    </row>
    <row r="566" spans="1:19" x14ac:dyDescent="0.3">
      <c r="A566" s="2" t="s">
        <v>691</v>
      </c>
      <c r="B566" s="2" t="s">
        <v>13</v>
      </c>
      <c r="C566" s="2" t="s">
        <v>137</v>
      </c>
      <c r="D566" s="3">
        <v>0.39583333333333298</v>
      </c>
      <c r="E566" s="3">
        <v>0.45833333333333298</v>
      </c>
      <c r="F566" s="2" t="s">
        <v>15</v>
      </c>
      <c r="G566" s="2" t="s">
        <v>20</v>
      </c>
      <c r="H566" s="2">
        <v>4</v>
      </c>
      <c r="I566" s="2" t="s">
        <v>604</v>
      </c>
      <c r="J566" s="2" t="s">
        <v>692</v>
      </c>
      <c r="K566" s="4" t="s">
        <v>693</v>
      </c>
      <c r="L566" s="2" t="str">
        <f>IFERROR(VLOOKUP(IFERROR(VLOOKUP(C566,'Destination Alias'!$A:$B,2,FALSE()),C566),'Best Months'!$A:$B,2,FALSE()),"Not listed")</f>
        <v>Jan–Mar</v>
      </c>
      <c r="S566" t="s">
        <v>693</v>
      </c>
    </row>
    <row r="567" spans="1:19" x14ac:dyDescent="0.3">
      <c r="A567" s="2" t="s">
        <v>694</v>
      </c>
      <c r="B567" s="2" t="s">
        <v>241</v>
      </c>
      <c r="C567" s="2" t="s">
        <v>65</v>
      </c>
      <c r="D567" s="3">
        <v>0.27083333333333298</v>
      </c>
      <c r="E567" s="3">
        <v>0.39583333333333298</v>
      </c>
      <c r="F567" s="2" t="s">
        <v>61</v>
      </c>
      <c r="G567" s="2" t="s">
        <v>28</v>
      </c>
      <c r="H567" s="2">
        <v>4.0999999999999996</v>
      </c>
      <c r="I567" s="2" t="s">
        <v>695</v>
      </c>
      <c r="J567" s="2" t="s">
        <v>696</v>
      </c>
      <c r="K567" s="4" t="s">
        <v>697</v>
      </c>
      <c r="L567" s="2" t="str">
        <f>IFERROR(VLOOKUP(IFERROR(VLOOKUP(C567,'Destination Alias'!$A:$B,2,FALSE()),C567),'Best Months'!$A:$B,2,FALSE()),"Not listed")</f>
        <v>Dec–Mar</v>
      </c>
      <c r="S567" t="s">
        <v>697</v>
      </c>
    </row>
    <row r="568" spans="1:19" x14ac:dyDescent="0.3">
      <c r="A568" s="2" t="s">
        <v>698</v>
      </c>
      <c r="B568" s="2" t="s">
        <v>49</v>
      </c>
      <c r="C568" s="2" t="s">
        <v>14</v>
      </c>
      <c r="D568" s="3">
        <v>0.66666666666666696</v>
      </c>
      <c r="E568" s="3">
        <v>0.72916666666666696</v>
      </c>
      <c r="F568" s="2" t="s">
        <v>15</v>
      </c>
      <c r="G568" s="2" t="s">
        <v>73</v>
      </c>
      <c r="H568" s="2">
        <v>4.7</v>
      </c>
      <c r="I568" s="2" t="s">
        <v>699</v>
      </c>
      <c r="J568" s="2" t="s">
        <v>700</v>
      </c>
      <c r="K568" s="4" t="s">
        <v>701</v>
      </c>
      <c r="L568" s="2" t="str">
        <f>IFERROR(VLOOKUP(IFERROR(VLOOKUP(C568,'Destination Alias'!$A:$B,2,FALSE()),C568),'Best Months'!$A:$B,2,FALSE()),"Not listed")</f>
        <v>Dec–Mar</v>
      </c>
      <c r="S568" t="s">
        <v>701</v>
      </c>
    </row>
    <row r="569" spans="1:19" x14ac:dyDescent="0.3">
      <c r="A569" s="2" t="s">
        <v>702</v>
      </c>
      <c r="B569" s="2" t="s">
        <v>81</v>
      </c>
      <c r="C569" s="2" t="s">
        <v>27</v>
      </c>
      <c r="D569" s="3">
        <v>0.25</v>
      </c>
      <c r="E569" s="3">
        <v>0.41666666666666702</v>
      </c>
      <c r="F569" s="2" t="s">
        <v>129</v>
      </c>
      <c r="G569" s="2" t="s">
        <v>28</v>
      </c>
      <c r="H569" s="2">
        <v>4.5</v>
      </c>
      <c r="I569" s="2" t="s">
        <v>703</v>
      </c>
      <c r="J569" s="2" t="s">
        <v>704</v>
      </c>
      <c r="K569" s="2"/>
      <c r="L569" s="2" t="str">
        <f>IFERROR(VLOOKUP(IFERROR(VLOOKUP(C569,'Destination Alias'!$A:$B,2,FALSE()),C569),'Best Months'!$A:$B,2,FALSE()),"Not listed")</f>
        <v>May–Sep</v>
      </c>
    </row>
    <row r="570" spans="1:19" x14ac:dyDescent="0.3">
      <c r="A570" s="2" t="s">
        <v>705</v>
      </c>
      <c r="B570" s="2" t="s">
        <v>13</v>
      </c>
      <c r="C570" s="2" t="s">
        <v>27</v>
      </c>
      <c r="D570" s="3">
        <v>0.6875</v>
      </c>
      <c r="E570" s="3">
        <v>0.75</v>
      </c>
      <c r="F570" s="2" t="s">
        <v>15</v>
      </c>
      <c r="G570" s="2" t="s">
        <v>73</v>
      </c>
      <c r="H570" s="2">
        <v>4.0999999999999996</v>
      </c>
      <c r="I570" s="2" t="s">
        <v>706</v>
      </c>
      <c r="J570" s="2" t="s">
        <v>707</v>
      </c>
      <c r="K570" s="2"/>
      <c r="L570" s="2" t="str">
        <f>IFERROR(VLOOKUP(IFERROR(VLOOKUP(C570,'Destination Alias'!$A:$B,2,FALSE()),C570),'Best Months'!$A:$B,2,FALSE()),"Not listed")</f>
        <v>May–Sep</v>
      </c>
    </row>
    <row r="571" spans="1:19" x14ac:dyDescent="0.3">
      <c r="A571" s="2" t="s">
        <v>708</v>
      </c>
      <c r="B571" s="2" t="s">
        <v>22</v>
      </c>
      <c r="C571" s="2" t="s">
        <v>119</v>
      </c>
      <c r="D571" s="3">
        <v>0.375</v>
      </c>
      <c r="E571" s="3">
        <v>0.4375</v>
      </c>
      <c r="F571" s="2" t="s">
        <v>15</v>
      </c>
      <c r="G571" s="2" t="s">
        <v>20</v>
      </c>
      <c r="H571" s="2">
        <v>4.7</v>
      </c>
      <c r="I571" s="2" t="s">
        <v>709</v>
      </c>
      <c r="J571" s="2" t="s">
        <v>710</v>
      </c>
      <c r="K571" s="2"/>
      <c r="L571" s="2" t="str">
        <f>IFERROR(VLOOKUP(IFERROR(VLOOKUP(C571,'Destination Alias'!$A:$B,2,FALSE()),C571),'Best Months'!$A:$B,2,FALSE()),"Not listed")</f>
        <v>Jan–Mar</v>
      </c>
    </row>
    <row r="572" spans="1:19" x14ac:dyDescent="0.3">
      <c r="A572" s="2" t="s">
        <v>708</v>
      </c>
      <c r="B572" s="2" t="s">
        <v>22</v>
      </c>
      <c r="C572" s="2" t="s">
        <v>119</v>
      </c>
      <c r="D572" s="3">
        <v>0.4375</v>
      </c>
      <c r="E572" s="3">
        <v>0.5</v>
      </c>
      <c r="F572" s="2" t="s">
        <v>15</v>
      </c>
      <c r="G572" s="2" t="s">
        <v>20</v>
      </c>
      <c r="H572" s="2">
        <v>4.7</v>
      </c>
      <c r="I572" s="2" t="s">
        <v>709</v>
      </c>
      <c r="J572" s="2" t="s">
        <v>710</v>
      </c>
      <c r="K572" s="2"/>
      <c r="L572" s="2" t="str">
        <f>IFERROR(VLOOKUP(IFERROR(VLOOKUP(C572,'Destination Alias'!$A:$B,2,FALSE()),C572),'Best Months'!$A:$B,2,FALSE()),"Not listed")</f>
        <v>Jan–Mar</v>
      </c>
    </row>
    <row r="573" spans="1:19" x14ac:dyDescent="0.3">
      <c r="A573" s="2" t="s">
        <v>711</v>
      </c>
      <c r="B573" s="2" t="s">
        <v>22</v>
      </c>
      <c r="C573" s="2" t="s">
        <v>14</v>
      </c>
      <c r="D573" s="3">
        <v>0.375</v>
      </c>
      <c r="E573" s="3">
        <v>0.4375</v>
      </c>
      <c r="F573" s="2" t="s">
        <v>15</v>
      </c>
      <c r="G573" s="2" t="s">
        <v>20</v>
      </c>
      <c r="H573" s="2">
        <v>4.7</v>
      </c>
      <c r="I573" s="2" t="s">
        <v>712</v>
      </c>
      <c r="J573" s="2" t="s">
        <v>713</v>
      </c>
      <c r="K573" s="4" t="s">
        <v>714</v>
      </c>
      <c r="L573" s="2" t="str">
        <f>IFERROR(VLOOKUP(IFERROR(VLOOKUP(C573,'Destination Alias'!$A:$B,2,FALSE()),C573),'Best Months'!$A:$B,2,FALSE()),"Not listed")</f>
        <v>Dec–Mar</v>
      </c>
      <c r="S573" t="s">
        <v>714</v>
      </c>
    </row>
    <row r="574" spans="1:19" x14ac:dyDescent="0.3">
      <c r="A574" s="2" t="s">
        <v>711</v>
      </c>
      <c r="B574" s="2" t="s">
        <v>22</v>
      </c>
      <c r="C574" s="2" t="s">
        <v>14</v>
      </c>
      <c r="D574" s="3">
        <v>0.4375</v>
      </c>
      <c r="E574" s="3">
        <v>0.5</v>
      </c>
      <c r="F574" s="2" t="s">
        <v>15</v>
      </c>
      <c r="G574" s="2" t="s">
        <v>20</v>
      </c>
      <c r="H574" s="2">
        <v>4.7</v>
      </c>
      <c r="I574" s="2" t="s">
        <v>712</v>
      </c>
      <c r="J574" s="2" t="s">
        <v>713</v>
      </c>
      <c r="K574" s="4" t="s">
        <v>714</v>
      </c>
      <c r="L574" s="2" t="str">
        <f>IFERROR(VLOOKUP(IFERROR(VLOOKUP(C574,'Destination Alias'!$A:$B,2,FALSE()),C574),'Best Months'!$A:$B,2,FALSE()),"Not listed")</f>
        <v>Dec–Mar</v>
      </c>
      <c r="S574" t="s">
        <v>714</v>
      </c>
    </row>
    <row r="575" spans="1:19" x14ac:dyDescent="0.3">
      <c r="A575" s="2" t="s">
        <v>715</v>
      </c>
      <c r="B575" s="2" t="s">
        <v>241</v>
      </c>
      <c r="C575" s="2" t="s">
        <v>163</v>
      </c>
      <c r="D575" s="3">
        <v>0.6875</v>
      </c>
      <c r="E575" s="3">
        <v>0.75</v>
      </c>
      <c r="F575" s="2" t="s">
        <v>15</v>
      </c>
      <c r="G575" s="2" t="s">
        <v>73</v>
      </c>
      <c r="H575" s="2">
        <v>4.2</v>
      </c>
      <c r="I575" s="2" t="s">
        <v>716</v>
      </c>
      <c r="J575" s="2" t="s">
        <v>717</v>
      </c>
      <c r="K575" s="4" t="s">
        <v>718</v>
      </c>
      <c r="L575" s="2" t="str">
        <f>IFERROR(VLOOKUP(IFERROR(VLOOKUP(C575,'Destination Alias'!$A:$B,2,FALSE()),C575),'Best Months'!$A:$B,2,FALSE()),"Not listed")</f>
        <v>Dec–Mar</v>
      </c>
      <c r="S575" t="s">
        <v>718</v>
      </c>
    </row>
    <row r="576" spans="1:19" x14ac:dyDescent="0.3">
      <c r="A576" s="2" t="s">
        <v>719</v>
      </c>
      <c r="B576" s="2" t="s">
        <v>13</v>
      </c>
      <c r="C576" s="2" t="s">
        <v>137</v>
      </c>
      <c r="D576" s="3">
        <v>0.33333333333333298</v>
      </c>
      <c r="E576" s="3">
        <v>0.39583333333333298</v>
      </c>
      <c r="F576" s="2" t="s">
        <v>15</v>
      </c>
      <c r="G576" s="2" t="s">
        <v>16</v>
      </c>
      <c r="H576" s="2">
        <v>4</v>
      </c>
      <c r="I576" s="2" t="s">
        <v>604</v>
      </c>
      <c r="J576" s="2" t="s">
        <v>720</v>
      </c>
      <c r="K576" s="4" t="s">
        <v>721</v>
      </c>
      <c r="L576" s="2" t="str">
        <f>IFERROR(VLOOKUP(IFERROR(VLOOKUP(C576,'Destination Alias'!$A:$B,2,FALSE()),C576),'Best Months'!$A:$B,2,FALSE()),"Not listed")</f>
        <v>Jan–Mar</v>
      </c>
      <c r="S576" t="s">
        <v>721</v>
      </c>
    </row>
    <row r="577" spans="1:19" x14ac:dyDescent="0.3">
      <c r="A577" s="2" t="s">
        <v>719</v>
      </c>
      <c r="B577" s="2" t="s">
        <v>13</v>
      </c>
      <c r="C577" s="2" t="s">
        <v>137</v>
      </c>
      <c r="D577" s="3">
        <v>0.39583333333333298</v>
      </c>
      <c r="E577" s="3">
        <v>0.45833333333333298</v>
      </c>
      <c r="F577" s="2" t="s">
        <v>15</v>
      </c>
      <c r="G577" s="2" t="s">
        <v>20</v>
      </c>
      <c r="H577" s="2">
        <v>4</v>
      </c>
      <c r="I577" s="2" t="s">
        <v>604</v>
      </c>
      <c r="J577" s="2" t="s">
        <v>720</v>
      </c>
      <c r="K577" s="4" t="s">
        <v>721</v>
      </c>
      <c r="L577" s="2" t="str">
        <f>IFERROR(VLOOKUP(IFERROR(VLOOKUP(C577,'Destination Alias'!$A:$B,2,FALSE()),C577),'Best Months'!$A:$B,2,FALSE()),"Not listed")</f>
        <v>Jan–Mar</v>
      </c>
      <c r="S577" t="s">
        <v>721</v>
      </c>
    </row>
    <row r="578" spans="1:19" x14ac:dyDescent="0.3">
      <c r="A578" s="2" t="s">
        <v>722</v>
      </c>
      <c r="B578" s="2" t="s">
        <v>13</v>
      </c>
      <c r="C578" s="2" t="s">
        <v>137</v>
      </c>
      <c r="D578" s="3">
        <v>0.33333333333333298</v>
      </c>
      <c r="E578" s="3">
        <v>0.39583333333333298</v>
      </c>
      <c r="F578" s="2" t="s">
        <v>15</v>
      </c>
      <c r="G578" s="2" t="s">
        <v>16</v>
      </c>
      <c r="H578" s="2">
        <v>4</v>
      </c>
      <c r="I578" s="2" t="s">
        <v>604</v>
      </c>
      <c r="J578" s="2" t="s">
        <v>723</v>
      </c>
      <c r="K578" s="2" t="s">
        <v>724</v>
      </c>
      <c r="L578" s="2" t="str">
        <f>IFERROR(VLOOKUP(IFERROR(VLOOKUP(C578,'Destination Alias'!$A:$B,2,FALSE()),C578),'Best Months'!$A:$B,2,FALSE()),"Not listed")</f>
        <v>Jan–Mar</v>
      </c>
    </row>
    <row r="579" spans="1:19" x14ac:dyDescent="0.3">
      <c r="A579" s="2" t="s">
        <v>722</v>
      </c>
      <c r="B579" s="2" t="s">
        <v>13</v>
      </c>
      <c r="C579" s="2" t="s">
        <v>137</v>
      </c>
      <c r="D579" s="3">
        <v>0.39583333333333298</v>
      </c>
      <c r="E579" s="3">
        <v>0.45833333333333298</v>
      </c>
      <c r="F579" s="2" t="s">
        <v>15</v>
      </c>
      <c r="G579" s="2" t="s">
        <v>20</v>
      </c>
      <c r="H579" s="2">
        <v>4</v>
      </c>
      <c r="I579" s="2" t="s">
        <v>604</v>
      </c>
      <c r="J579" s="2" t="s">
        <v>723</v>
      </c>
      <c r="K579" s="2" t="s">
        <v>724</v>
      </c>
      <c r="L579" s="2" t="str">
        <f>IFERROR(VLOOKUP(IFERROR(VLOOKUP(C579,'Destination Alias'!$A:$B,2,FALSE()),C579),'Best Months'!$A:$B,2,FALSE()),"Not listed")</f>
        <v>Jan–Mar</v>
      </c>
    </row>
    <row r="580" spans="1:19" x14ac:dyDescent="0.3">
      <c r="A580" s="2" t="s">
        <v>725</v>
      </c>
      <c r="B580" s="2" t="s">
        <v>22</v>
      </c>
      <c r="C580" s="2" t="s">
        <v>44</v>
      </c>
      <c r="D580" s="3">
        <v>0.27083333333333298</v>
      </c>
      <c r="E580" s="3">
        <v>0.3125</v>
      </c>
      <c r="F580" s="2" t="s">
        <v>35</v>
      </c>
      <c r="G580" s="2" t="s">
        <v>28</v>
      </c>
      <c r="H580" s="2">
        <v>4.5999999999999996</v>
      </c>
      <c r="I580" s="2" t="s">
        <v>726</v>
      </c>
      <c r="J580" s="2" t="s">
        <v>727</v>
      </c>
      <c r="K580" s="4" t="s">
        <v>728</v>
      </c>
      <c r="L580" s="2" t="str">
        <f>IFERROR(VLOOKUP(IFERROR(VLOOKUP(C580,'Destination Alias'!$A:$B,2,FALSE()),C580),'Best Months'!$A:$B,2,FALSE()),"Not listed")</f>
        <v>Jan–Mar, Jul–Sep</v>
      </c>
      <c r="S580" t="s">
        <v>728</v>
      </c>
    </row>
    <row r="581" spans="1:19" x14ac:dyDescent="0.3">
      <c r="A581" s="2" t="s">
        <v>725</v>
      </c>
      <c r="B581" s="2" t="s">
        <v>22</v>
      </c>
      <c r="C581" s="2" t="s">
        <v>44</v>
      </c>
      <c r="D581" s="3">
        <v>0.3125</v>
      </c>
      <c r="E581" s="3">
        <v>0.35416666666666702</v>
      </c>
      <c r="F581" s="2" t="s">
        <v>35</v>
      </c>
      <c r="G581" s="2" t="s">
        <v>38</v>
      </c>
      <c r="H581" s="2">
        <v>4.5999999999999996</v>
      </c>
      <c r="I581" s="2" t="s">
        <v>726</v>
      </c>
      <c r="J581" s="2" t="s">
        <v>727</v>
      </c>
      <c r="K581" s="4" t="s">
        <v>728</v>
      </c>
      <c r="L581" s="2" t="str">
        <f>IFERROR(VLOOKUP(IFERROR(VLOOKUP(C581,'Destination Alias'!$A:$B,2,FALSE()),C581),'Best Months'!$A:$B,2,FALSE()),"Not listed")</f>
        <v>Jan–Mar, Jul–Sep</v>
      </c>
      <c r="S581" t="s">
        <v>728</v>
      </c>
    </row>
    <row r="582" spans="1:19" x14ac:dyDescent="0.3">
      <c r="A582" s="2" t="s">
        <v>725</v>
      </c>
      <c r="B582" s="2" t="s">
        <v>22</v>
      </c>
      <c r="C582" s="2" t="s">
        <v>44</v>
      </c>
      <c r="D582" s="3">
        <v>0.35416666666666702</v>
      </c>
      <c r="E582" s="3">
        <v>0.39583333333333298</v>
      </c>
      <c r="F582" s="2" t="s">
        <v>35</v>
      </c>
      <c r="G582" s="2" t="s">
        <v>16</v>
      </c>
      <c r="H582" s="2">
        <v>4.5999999999999996</v>
      </c>
      <c r="I582" s="2" t="s">
        <v>726</v>
      </c>
      <c r="J582" s="2" t="s">
        <v>727</v>
      </c>
      <c r="K582" s="4" t="s">
        <v>728</v>
      </c>
      <c r="L582" s="2" t="str">
        <f>IFERROR(VLOOKUP(IFERROR(VLOOKUP(C582,'Destination Alias'!$A:$B,2,FALSE()),C582),'Best Months'!$A:$B,2,FALSE()),"Not listed")</f>
        <v>Jan–Mar, Jul–Sep</v>
      </c>
      <c r="S582" t="s">
        <v>728</v>
      </c>
    </row>
    <row r="583" spans="1:19" x14ac:dyDescent="0.3">
      <c r="A583" s="2" t="s">
        <v>729</v>
      </c>
      <c r="B583" s="2" t="s">
        <v>22</v>
      </c>
      <c r="C583" s="2" t="s">
        <v>163</v>
      </c>
      <c r="D583" s="3">
        <v>0.375</v>
      </c>
      <c r="E583" s="3">
        <v>0.41666666666666702</v>
      </c>
      <c r="F583" s="2" t="s">
        <v>35</v>
      </c>
      <c r="G583" s="2" t="s">
        <v>20</v>
      </c>
      <c r="H583" s="2">
        <v>4.5999999999999996</v>
      </c>
      <c r="I583" s="2" t="s">
        <v>730</v>
      </c>
      <c r="J583" s="2" t="s">
        <v>731</v>
      </c>
      <c r="K583" s="4" t="s">
        <v>732</v>
      </c>
      <c r="L583" s="2" t="str">
        <f>IFERROR(VLOOKUP(IFERROR(VLOOKUP(C583,'Destination Alias'!$A:$B,2,FALSE()),C583),'Best Months'!$A:$B,2,FALSE()),"Not listed")</f>
        <v>Dec–Mar</v>
      </c>
      <c r="S583" t="s">
        <v>732</v>
      </c>
    </row>
    <row r="584" spans="1:19" x14ac:dyDescent="0.3">
      <c r="A584" s="2" t="s">
        <v>729</v>
      </c>
      <c r="B584" s="2" t="s">
        <v>22</v>
      </c>
      <c r="C584" s="2" t="s">
        <v>163</v>
      </c>
      <c r="D584" s="3">
        <v>0.41666666666666702</v>
      </c>
      <c r="E584" s="3">
        <v>0.45833333333333298</v>
      </c>
      <c r="F584" s="2" t="s">
        <v>35</v>
      </c>
      <c r="G584" s="2" t="s">
        <v>20</v>
      </c>
      <c r="H584" s="2">
        <v>4.5999999999999996</v>
      </c>
      <c r="I584" s="2" t="s">
        <v>730</v>
      </c>
      <c r="J584" s="2" t="s">
        <v>731</v>
      </c>
      <c r="K584" s="4" t="s">
        <v>732</v>
      </c>
      <c r="L584" s="2" t="str">
        <f>IFERROR(VLOOKUP(IFERROR(VLOOKUP(C584,'Destination Alias'!$A:$B,2,FALSE()),C584),'Best Months'!$A:$B,2,FALSE()),"Not listed")</f>
        <v>Dec–Mar</v>
      </c>
      <c r="S584" t="s">
        <v>732</v>
      </c>
    </row>
    <row r="585" spans="1:19" x14ac:dyDescent="0.3">
      <c r="A585" s="2" t="s">
        <v>729</v>
      </c>
      <c r="B585" s="2" t="s">
        <v>22</v>
      </c>
      <c r="C585" s="2" t="s">
        <v>163</v>
      </c>
      <c r="D585" s="3">
        <v>0.45833333333333298</v>
      </c>
      <c r="E585" s="3">
        <v>0.5</v>
      </c>
      <c r="F585" s="2" t="s">
        <v>35</v>
      </c>
      <c r="G585" s="2" t="s">
        <v>220</v>
      </c>
      <c r="H585" s="2">
        <v>4.5999999999999996</v>
      </c>
      <c r="I585" s="2" t="s">
        <v>730</v>
      </c>
      <c r="J585" s="2" t="s">
        <v>731</v>
      </c>
      <c r="K585" s="4" t="s">
        <v>732</v>
      </c>
      <c r="L585" s="2" t="str">
        <f>IFERROR(VLOOKUP(IFERROR(VLOOKUP(C585,'Destination Alias'!$A:$B,2,FALSE()),C585),'Best Months'!$A:$B,2,FALSE()),"Not listed")</f>
        <v>Dec–Mar</v>
      </c>
      <c r="S585" t="s">
        <v>732</v>
      </c>
    </row>
    <row r="586" spans="1:19" x14ac:dyDescent="0.3">
      <c r="A586" s="2" t="s">
        <v>733</v>
      </c>
      <c r="B586" s="2" t="s">
        <v>241</v>
      </c>
      <c r="C586" s="2" t="s">
        <v>734</v>
      </c>
      <c r="D586" s="3">
        <v>0.25</v>
      </c>
      <c r="E586" s="3">
        <v>0.33333333333333298</v>
      </c>
      <c r="F586" s="2" t="s">
        <v>51</v>
      </c>
      <c r="G586" s="2" t="s">
        <v>28</v>
      </c>
      <c r="H586" s="2">
        <v>4.0999999999999996</v>
      </c>
      <c r="I586" s="2" t="s">
        <v>735</v>
      </c>
      <c r="J586" s="2" t="s">
        <v>736</v>
      </c>
      <c r="K586" s="4" t="s">
        <v>737</v>
      </c>
      <c r="L586" s="2" t="str">
        <f>IFERROR(VLOOKUP(IFERROR(VLOOKUP(C586,'Destination Alias'!$A:$B,2,FALSE()),C586),'Best Months'!$A:$B,2,FALSE()),"Not listed")</f>
        <v>May–Sep</v>
      </c>
      <c r="S586" t="s">
        <v>737</v>
      </c>
    </row>
    <row r="587" spans="1:19" x14ac:dyDescent="0.3">
      <c r="A587" s="2" t="s">
        <v>738</v>
      </c>
      <c r="B587" s="2" t="s">
        <v>13</v>
      </c>
      <c r="C587" s="2" t="s">
        <v>108</v>
      </c>
      <c r="D587" s="3">
        <v>0.27083333333333298</v>
      </c>
      <c r="E587" s="3">
        <v>0.30208333333333298</v>
      </c>
      <c r="F587" s="2" t="s">
        <v>90</v>
      </c>
      <c r="G587" s="2" t="s">
        <v>28</v>
      </c>
      <c r="H587" s="2">
        <v>4.2</v>
      </c>
      <c r="I587" s="2" t="s">
        <v>739</v>
      </c>
      <c r="J587" s="2" t="s">
        <v>740</v>
      </c>
      <c r="K587" s="4" t="s">
        <v>741</v>
      </c>
      <c r="L587" s="2" t="str">
        <f>IFERROR(VLOOKUP(IFERROR(VLOOKUP(C587,'Destination Alias'!$A:$B,2,FALSE()),C587),'Best Months'!$A:$B,2,FALSE()),"Not listed")</f>
        <v>Jan–Mar, Jul–Aug</v>
      </c>
      <c r="S587" t="s">
        <v>741</v>
      </c>
    </row>
    <row r="588" spans="1:19" x14ac:dyDescent="0.3">
      <c r="A588" s="2" t="s">
        <v>738</v>
      </c>
      <c r="B588" s="2" t="s">
        <v>13</v>
      </c>
      <c r="C588" s="2" t="s">
        <v>108</v>
      </c>
      <c r="D588" s="3">
        <v>0.30208333333333298</v>
      </c>
      <c r="E588" s="3">
        <v>0.33333333333333298</v>
      </c>
      <c r="F588" s="2" t="s">
        <v>90</v>
      </c>
      <c r="G588" s="2" t="s">
        <v>38</v>
      </c>
      <c r="H588" s="2">
        <v>4.2</v>
      </c>
      <c r="I588" s="2" t="s">
        <v>739</v>
      </c>
      <c r="J588" s="2" t="s">
        <v>740</v>
      </c>
      <c r="K588" s="4" t="s">
        <v>741</v>
      </c>
      <c r="L588" s="2" t="str">
        <f>IFERROR(VLOOKUP(IFERROR(VLOOKUP(C588,'Destination Alias'!$A:$B,2,FALSE()),C588),'Best Months'!$A:$B,2,FALSE()),"Not listed")</f>
        <v>Jan–Mar, Jul–Aug</v>
      </c>
      <c r="S588" t="s">
        <v>741</v>
      </c>
    </row>
    <row r="589" spans="1:19" x14ac:dyDescent="0.3">
      <c r="A589" s="2" t="s">
        <v>738</v>
      </c>
      <c r="B589" s="2" t="s">
        <v>13</v>
      </c>
      <c r="C589" s="2" t="s">
        <v>108</v>
      </c>
      <c r="D589" s="3">
        <v>0.33333333333333298</v>
      </c>
      <c r="E589" s="3">
        <v>0.36458333333333298</v>
      </c>
      <c r="F589" s="2" t="s">
        <v>90</v>
      </c>
      <c r="G589" s="2" t="s">
        <v>16</v>
      </c>
      <c r="H589" s="2">
        <v>4.2</v>
      </c>
      <c r="I589" s="2" t="s">
        <v>739</v>
      </c>
      <c r="J589" s="2" t="s">
        <v>740</v>
      </c>
      <c r="K589" s="4" t="s">
        <v>741</v>
      </c>
      <c r="L589" s="2" t="str">
        <f>IFERROR(VLOOKUP(IFERROR(VLOOKUP(C589,'Destination Alias'!$A:$B,2,FALSE()),C589),'Best Months'!$A:$B,2,FALSE()),"Not listed")</f>
        <v>Jan–Mar, Jul–Aug</v>
      </c>
      <c r="S589" t="s">
        <v>741</v>
      </c>
    </row>
    <row r="590" spans="1:19" x14ac:dyDescent="0.3">
      <c r="A590" s="2" t="s">
        <v>742</v>
      </c>
      <c r="B590" s="2" t="s">
        <v>241</v>
      </c>
      <c r="C590" s="2" t="s">
        <v>65</v>
      </c>
      <c r="D590" s="3">
        <v>0.25</v>
      </c>
      <c r="E590" s="3">
        <v>0.375</v>
      </c>
      <c r="F590" s="2" t="s">
        <v>51</v>
      </c>
      <c r="G590" s="2" t="s">
        <v>28</v>
      </c>
      <c r="H590" s="2">
        <v>4.0999999999999996</v>
      </c>
      <c r="I590" s="2" t="s">
        <v>743</v>
      </c>
      <c r="J590" s="2" t="s">
        <v>744</v>
      </c>
      <c r="K590" s="2" t="s">
        <v>745</v>
      </c>
      <c r="L590" s="2" t="str">
        <f>IFERROR(VLOOKUP(IFERROR(VLOOKUP(C590,'Destination Alias'!$A:$B,2,FALSE()),C590),'Best Months'!$A:$B,2,FALSE()),"Not listed")</f>
        <v>Dec–Mar</v>
      </c>
    </row>
    <row r="591" spans="1:19" x14ac:dyDescent="0.3">
      <c r="A591" s="2" t="s">
        <v>742</v>
      </c>
      <c r="B591" s="2" t="s">
        <v>241</v>
      </c>
      <c r="C591" s="2" t="s">
        <v>65</v>
      </c>
      <c r="D591" s="3">
        <v>0.70833333333333304</v>
      </c>
      <c r="E591" s="3">
        <v>0.77083333333333304</v>
      </c>
      <c r="F591" s="2" t="s">
        <v>51</v>
      </c>
      <c r="G591" s="2" t="s">
        <v>52</v>
      </c>
      <c r="H591" s="2">
        <v>4.0999999999999996</v>
      </c>
      <c r="I591" s="2" t="s">
        <v>743</v>
      </c>
      <c r="J591" s="2" t="s">
        <v>744</v>
      </c>
      <c r="K591" s="2" t="s">
        <v>745</v>
      </c>
      <c r="L591" s="2" t="str">
        <f>IFERROR(VLOOKUP(IFERROR(VLOOKUP(C591,'Destination Alias'!$A:$B,2,FALSE()),C591),'Best Months'!$A:$B,2,FALSE()),"Not listed")</f>
        <v>Dec–Mar</v>
      </c>
    </row>
    <row r="592" spans="1:19" x14ac:dyDescent="0.3">
      <c r="A592" s="2" t="s">
        <v>742</v>
      </c>
      <c r="B592" s="2" t="s">
        <v>241</v>
      </c>
      <c r="C592" s="2" t="s">
        <v>65</v>
      </c>
      <c r="D592" s="3">
        <v>0.64583333333333304</v>
      </c>
      <c r="E592" s="3">
        <v>0.72916666666666696</v>
      </c>
      <c r="F592" s="2" t="s">
        <v>51</v>
      </c>
      <c r="G592" s="2" t="s">
        <v>73</v>
      </c>
      <c r="H592" s="2">
        <v>4.0999999999999996</v>
      </c>
      <c r="I592" s="2" t="s">
        <v>743</v>
      </c>
      <c r="J592" s="2" t="s">
        <v>744</v>
      </c>
      <c r="K592" s="2" t="s">
        <v>745</v>
      </c>
      <c r="L592" s="2" t="str">
        <f>IFERROR(VLOOKUP(IFERROR(VLOOKUP(C592,'Destination Alias'!$A:$B,2,FALSE()),C592),'Best Months'!$A:$B,2,FALSE()),"Not listed")</f>
        <v>Dec–Mar</v>
      </c>
    </row>
    <row r="593" spans="1:19" x14ac:dyDescent="0.3">
      <c r="A593" s="2" t="s">
        <v>746</v>
      </c>
      <c r="B593" s="2" t="s">
        <v>49</v>
      </c>
      <c r="C593" s="2" t="s">
        <v>65</v>
      </c>
      <c r="D593" s="3">
        <v>0.75</v>
      </c>
      <c r="E593" s="3">
        <v>0.78125</v>
      </c>
      <c r="F593" s="2" t="s">
        <v>90</v>
      </c>
      <c r="G593" s="2" t="s">
        <v>102</v>
      </c>
      <c r="H593" s="2">
        <v>4.5</v>
      </c>
      <c r="I593" s="2" t="s">
        <v>747</v>
      </c>
      <c r="J593" s="2" t="s">
        <v>748</v>
      </c>
      <c r="K593" s="2" t="s">
        <v>749</v>
      </c>
      <c r="L593" s="2" t="str">
        <f>IFERROR(VLOOKUP(IFERROR(VLOOKUP(C593,'Destination Alias'!$A:$B,2,FALSE()),C593),'Best Months'!$A:$B,2,FALSE()),"Not listed")</f>
        <v>Dec–Mar</v>
      </c>
    </row>
    <row r="594" spans="1:19" x14ac:dyDescent="0.3">
      <c r="A594" s="2" t="s">
        <v>746</v>
      </c>
      <c r="B594" s="2" t="s">
        <v>49</v>
      </c>
      <c r="C594" s="2" t="s">
        <v>65</v>
      </c>
      <c r="D594" s="3">
        <v>0.78125</v>
      </c>
      <c r="E594" s="3">
        <v>0.8125</v>
      </c>
      <c r="F594" s="2" t="s">
        <v>90</v>
      </c>
      <c r="G594" s="2" t="s">
        <v>102</v>
      </c>
      <c r="H594" s="2">
        <v>4.5</v>
      </c>
      <c r="I594" s="2" t="s">
        <v>747</v>
      </c>
      <c r="J594" s="2" t="s">
        <v>748</v>
      </c>
      <c r="K594" s="2" t="s">
        <v>749</v>
      </c>
      <c r="L594" s="2" t="str">
        <f>IFERROR(VLOOKUP(IFERROR(VLOOKUP(C594,'Destination Alias'!$A:$B,2,FALSE()),C594),'Best Months'!$A:$B,2,FALSE()),"Not listed")</f>
        <v>Dec–Mar</v>
      </c>
    </row>
    <row r="595" spans="1:19" x14ac:dyDescent="0.3">
      <c r="A595" s="2" t="s">
        <v>746</v>
      </c>
      <c r="B595" s="2" t="s">
        <v>49</v>
      </c>
      <c r="C595" s="2" t="s">
        <v>65</v>
      </c>
      <c r="D595" s="3">
        <v>0.8125</v>
      </c>
      <c r="E595" s="3">
        <v>0.84375</v>
      </c>
      <c r="F595" s="2" t="s">
        <v>90</v>
      </c>
      <c r="G595" s="2" t="s">
        <v>380</v>
      </c>
      <c r="H595" s="2">
        <v>4.5</v>
      </c>
      <c r="I595" s="2" t="s">
        <v>747</v>
      </c>
      <c r="J595" s="2" t="s">
        <v>748</v>
      </c>
      <c r="K595" s="2" t="s">
        <v>749</v>
      </c>
      <c r="L595" s="2" t="str">
        <f>IFERROR(VLOOKUP(IFERROR(VLOOKUP(C595,'Destination Alias'!$A:$B,2,FALSE()),C595),'Best Months'!$A:$B,2,FALSE()),"Not listed")</f>
        <v>Dec–Mar</v>
      </c>
    </row>
    <row r="596" spans="1:19" x14ac:dyDescent="0.3">
      <c r="A596" s="2" t="s">
        <v>750</v>
      </c>
      <c r="B596" s="2" t="s">
        <v>22</v>
      </c>
      <c r="C596" s="2" t="s">
        <v>65</v>
      </c>
      <c r="D596" s="3">
        <v>0.66666666666666696</v>
      </c>
      <c r="E596" s="3">
        <v>0.70833333333333304</v>
      </c>
      <c r="F596" s="2" t="s">
        <v>35</v>
      </c>
      <c r="G596" s="2" t="s">
        <v>73</v>
      </c>
      <c r="H596" s="2">
        <v>4.5999999999999996</v>
      </c>
      <c r="I596" s="2" t="s">
        <v>751</v>
      </c>
      <c r="J596" s="2" t="s">
        <v>752</v>
      </c>
      <c r="K596" s="2" t="s">
        <v>753</v>
      </c>
      <c r="L596" s="2" t="str">
        <f>IFERROR(VLOOKUP(IFERROR(VLOOKUP(C596,'Destination Alias'!$A:$B,2,FALSE()),C596),'Best Months'!$A:$B,2,FALSE()),"Not listed")</f>
        <v>Dec–Mar</v>
      </c>
    </row>
    <row r="597" spans="1:19" x14ac:dyDescent="0.3">
      <c r="A597" s="2" t="s">
        <v>750</v>
      </c>
      <c r="B597" s="2" t="s">
        <v>22</v>
      </c>
      <c r="C597" s="2" t="s">
        <v>65</v>
      </c>
      <c r="D597" s="3">
        <v>0.70833333333333304</v>
      </c>
      <c r="E597" s="3">
        <v>0.75</v>
      </c>
      <c r="F597" s="2" t="s">
        <v>35</v>
      </c>
      <c r="G597" s="2" t="s">
        <v>52</v>
      </c>
      <c r="H597" s="2">
        <v>4.5999999999999996</v>
      </c>
      <c r="I597" s="2" t="s">
        <v>751</v>
      </c>
      <c r="J597" s="2" t="s">
        <v>752</v>
      </c>
      <c r="K597" s="2" t="s">
        <v>753</v>
      </c>
      <c r="L597" s="2" t="str">
        <f>IFERROR(VLOOKUP(IFERROR(VLOOKUP(C597,'Destination Alias'!$A:$B,2,FALSE()),C597),'Best Months'!$A:$B,2,FALSE()),"Not listed")</f>
        <v>Dec–Mar</v>
      </c>
    </row>
    <row r="598" spans="1:19" x14ac:dyDescent="0.3">
      <c r="A598" s="2" t="s">
        <v>754</v>
      </c>
      <c r="B598" s="2" t="s">
        <v>241</v>
      </c>
      <c r="C598" s="2" t="s">
        <v>65</v>
      </c>
      <c r="D598" s="3">
        <v>0.64583333333333304</v>
      </c>
      <c r="E598" s="3">
        <v>0.77083333333333304</v>
      </c>
      <c r="F598" s="2" t="s">
        <v>61</v>
      </c>
      <c r="G598" s="2" t="s">
        <v>73</v>
      </c>
      <c r="H598" s="2">
        <v>4.0999999999999996</v>
      </c>
      <c r="I598" s="2" t="s">
        <v>755</v>
      </c>
      <c r="J598" s="2" t="s">
        <v>756</v>
      </c>
      <c r="K598" s="2" t="s">
        <v>757</v>
      </c>
      <c r="L598" s="2" t="str">
        <f>IFERROR(VLOOKUP(IFERROR(VLOOKUP(C598,'Destination Alias'!$A:$B,2,FALSE()),C598),'Best Months'!$A:$B,2,FALSE()),"Not listed")</f>
        <v>Dec–Mar</v>
      </c>
    </row>
    <row r="599" spans="1:19" x14ac:dyDescent="0.3">
      <c r="A599" s="2" t="s">
        <v>758</v>
      </c>
      <c r="B599" s="2" t="s">
        <v>361</v>
      </c>
      <c r="C599" s="2" t="s">
        <v>23</v>
      </c>
      <c r="D599" s="3">
        <v>0.41666666666666702</v>
      </c>
      <c r="E599" s="3">
        <v>0.58333333333333304</v>
      </c>
      <c r="F599" s="2" t="s">
        <v>129</v>
      </c>
      <c r="G599" s="2" t="s">
        <v>20</v>
      </c>
      <c r="H599" s="2">
        <v>4.4000000000000004</v>
      </c>
      <c r="I599" s="2" t="s">
        <v>759</v>
      </c>
      <c r="J599" s="2" t="s">
        <v>760</v>
      </c>
      <c r="K599" s="4" t="s">
        <v>436</v>
      </c>
      <c r="L599" s="2" t="str">
        <f>IFERROR(VLOOKUP(IFERROR(VLOOKUP(C599,'Destination Alias'!$A:$B,2,FALSE()),C599),'Best Months'!$A:$B,2,FALSE()),"Not listed")</f>
        <v>Dec–Mar</v>
      </c>
      <c r="S599" t="s">
        <v>436</v>
      </c>
    </row>
    <row r="600" spans="1:19" x14ac:dyDescent="0.3">
      <c r="A600" s="2" t="s">
        <v>761</v>
      </c>
      <c r="B600" s="2" t="s">
        <v>13</v>
      </c>
      <c r="C600" s="2" t="s">
        <v>104</v>
      </c>
      <c r="D600" s="3">
        <v>0.29166666666666702</v>
      </c>
      <c r="E600" s="3">
        <v>0.625</v>
      </c>
      <c r="F600" s="2" t="s">
        <v>357</v>
      </c>
      <c r="G600" s="2" t="s">
        <v>38</v>
      </c>
      <c r="H600" s="2">
        <v>4.5999999999999996</v>
      </c>
      <c r="I600" s="2" t="s">
        <v>762</v>
      </c>
      <c r="J600" s="2" t="s">
        <v>763</v>
      </c>
      <c r="K600" s="2"/>
      <c r="L600" s="2" t="str">
        <f>IFERROR(VLOOKUP(IFERROR(VLOOKUP(C600,'Destination Alias'!$A:$B,2,FALSE()),C600),'Best Months'!$A:$B,2,FALSE()),"Not listed")</f>
        <v>Jan–Mar, Jul–Aug</v>
      </c>
    </row>
    <row r="601" spans="1:19" x14ac:dyDescent="0.3">
      <c r="A601" s="2" t="s">
        <v>764</v>
      </c>
      <c r="B601" s="2" t="s">
        <v>22</v>
      </c>
      <c r="C601" s="2" t="s">
        <v>163</v>
      </c>
      <c r="D601" s="3">
        <v>0.39583333333333298</v>
      </c>
      <c r="E601" s="3">
        <v>0.40972222222222199</v>
      </c>
      <c r="F601" s="2" t="s">
        <v>396</v>
      </c>
      <c r="G601" s="2" t="s">
        <v>20</v>
      </c>
      <c r="H601" s="2">
        <v>4.5999999999999996</v>
      </c>
      <c r="I601" s="2" t="s">
        <v>765</v>
      </c>
      <c r="J601" s="2" t="s">
        <v>766</v>
      </c>
      <c r="K601" s="4" t="s">
        <v>767</v>
      </c>
      <c r="L601" s="2" t="str">
        <f>IFERROR(VLOOKUP(IFERROR(VLOOKUP(C601,'Destination Alias'!$A:$B,2,FALSE()),C601),'Best Months'!$A:$B,2,FALSE()),"Not listed")</f>
        <v>Dec–Mar</v>
      </c>
      <c r="S601" t="s">
        <v>767</v>
      </c>
    </row>
    <row r="602" spans="1:19" x14ac:dyDescent="0.3">
      <c r="A602" s="2" t="s">
        <v>764</v>
      </c>
      <c r="B602" s="2" t="s">
        <v>22</v>
      </c>
      <c r="C602" s="2" t="s">
        <v>163</v>
      </c>
      <c r="D602" s="3">
        <v>0.40972222222222199</v>
      </c>
      <c r="E602" s="3">
        <v>0.42361111111111099</v>
      </c>
      <c r="F602" s="2" t="s">
        <v>396</v>
      </c>
      <c r="G602" s="2" t="s">
        <v>20</v>
      </c>
      <c r="H602" s="2">
        <v>4.5999999999999996</v>
      </c>
      <c r="I602" s="2" t="s">
        <v>765</v>
      </c>
      <c r="J602" s="2" t="s">
        <v>766</v>
      </c>
      <c r="K602" s="4" t="s">
        <v>767</v>
      </c>
      <c r="L602" s="2" t="str">
        <f>IFERROR(VLOOKUP(IFERROR(VLOOKUP(C602,'Destination Alias'!$A:$B,2,FALSE()),C602),'Best Months'!$A:$B,2,FALSE()),"Not listed")</f>
        <v>Dec–Mar</v>
      </c>
      <c r="S602" t="s">
        <v>767</v>
      </c>
    </row>
    <row r="603" spans="1:19" x14ac:dyDescent="0.3">
      <c r="A603" s="2" t="s">
        <v>764</v>
      </c>
      <c r="B603" s="2" t="s">
        <v>22</v>
      </c>
      <c r="C603" s="2" t="s">
        <v>163</v>
      </c>
      <c r="D603" s="3">
        <v>0.42361111111111099</v>
      </c>
      <c r="E603" s="3">
        <v>0.4375</v>
      </c>
      <c r="F603" s="2" t="s">
        <v>396</v>
      </c>
      <c r="G603" s="2" t="s">
        <v>20</v>
      </c>
      <c r="H603" s="2">
        <v>4.5999999999999996</v>
      </c>
      <c r="I603" s="2" t="s">
        <v>765</v>
      </c>
      <c r="J603" s="2" t="s">
        <v>766</v>
      </c>
      <c r="K603" s="4" t="s">
        <v>767</v>
      </c>
      <c r="L603" s="2" t="str">
        <f>IFERROR(VLOOKUP(IFERROR(VLOOKUP(C603,'Destination Alias'!$A:$B,2,FALSE()),C603),'Best Months'!$A:$B,2,FALSE()),"Not listed")</f>
        <v>Dec–Mar</v>
      </c>
      <c r="S603" t="s">
        <v>767</v>
      </c>
    </row>
    <row r="604" spans="1:19" x14ac:dyDescent="0.3">
      <c r="A604" s="2" t="s">
        <v>764</v>
      </c>
      <c r="B604" s="2" t="s">
        <v>22</v>
      </c>
      <c r="C604" s="2" t="s">
        <v>163</v>
      </c>
      <c r="D604" s="3">
        <v>0.4375</v>
      </c>
      <c r="E604" s="3">
        <v>0.45138888888888901</v>
      </c>
      <c r="F604" s="2" t="s">
        <v>396</v>
      </c>
      <c r="G604" s="2" t="s">
        <v>20</v>
      </c>
      <c r="H604" s="2">
        <v>4.5999999999999996</v>
      </c>
      <c r="I604" s="2" t="s">
        <v>765</v>
      </c>
      <c r="J604" s="2" t="s">
        <v>766</v>
      </c>
      <c r="K604" s="4" t="s">
        <v>767</v>
      </c>
      <c r="L604" s="2" t="str">
        <f>IFERROR(VLOOKUP(IFERROR(VLOOKUP(C604,'Destination Alias'!$A:$B,2,FALSE()),C604),'Best Months'!$A:$B,2,FALSE()),"Not listed")</f>
        <v>Dec–Mar</v>
      </c>
      <c r="S604" t="s">
        <v>767</v>
      </c>
    </row>
    <row r="605" spans="1:19" x14ac:dyDescent="0.3">
      <c r="A605" s="2" t="s">
        <v>764</v>
      </c>
      <c r="B605" s="2" t="s">
        <v>22</v>
      </c>
      <c r="C605" s="2" t="s">
        <v>163</v>
      </c>
      <c r="D605" s="3">
        <v>0.45138888888888901</v>
      </c>
      <c r="E605" s="3">
        <v>0.46527777777777801</v>
      </c>
      <c r="F605" s="2" t="s">
        <v>396</v>
      </c>
      <c r="G605" s="2" t="s">
        <v>20</v>
      </c>
      <c r="H605" s="2">
        <v>4.5999999999999996</v>
      </c>
      <c r="I605" s="2" t="s">
        <v>765</v>
      </c>
      <c r="J605" s="2" t="s">
        <v>766</v>
      </c>
      <c r="K605" s="4" t="s">
        <v>767</v>
      </c>
      <c r="L605" s="2" t="str">
        <f>IFERROR(VLOOKUP(IFERROR(VLOOKUP(C605,'Destination Alias'!$A:$B,2,FALSE()),C605),'Best Months'!$A:$B,2,FALSE()),"Not listed")</f>
        <v>Dec–Mar</v>
      </c>
      <c r="S605" t="s">
        <v>767</v>
      </c>
    </row>
    <row r="606" spans="1:19" x14ac:dyDescent="0.3">
      <c r="A606" s="2" t="s">
        <v>764</v>
      </c>
      <c r="B606" s="2" t="s">
        <v>22</v>
      </c>
      <c r="C606" s="2" t="s">
        <v>163</v>
      </c>
      <c r="D606" s="3">
        <v>0.46527777777777801</v>
      </c>
      <c r="E606" s="3">
        <v>0.47916666666666702</v>
      </c>
      <c r="F606" s="2" t="s">
        <v>396</v>
      </c>
      <c r="G606" s="2" t="s">
        <v>220</v>
      </c>
      <c r="H606" s="2">
        <v>4.5999999999999996</v>
      </c>
      <c r="I606" s="2" t="s">
        <v>765</v>
      </c>
      <c r="J606" s="2" t="s">
        <v>766</v>
      </c>
      <c r="K606" s="4" t="s">
        <v>767</v>
      </c>
      <c r="L606" s="2" t="str">
        <f>IFERROR(VLOOKUP(IFERROR(VLOOKUP(C606,'Destination Alias'!$A:$B,2,FALSE()),C606),'Best Months'!$A:$B,2,FALSE()),"Not listed")</f>
        <v>Dec–Mar</v>
      </c>
      <c r="S606" t="s">
        <v>767</v>
      </c>
    </row>
    <row r="607" spans="1:19" x14ac:dyDescent="0.3">
      <c r="A607" s="2" t="s">
        <v>768</v>
      </c>
      <c r="B607" s="2" t="s">
        <v>13</v>
      </c>
      <c r="C607" s="2" t="s">
        <v>137</v>
      </c>
      <c r="D607" s="3">
        <v>0.33333333333333298</v>
      </c>
      <c r="E607" s="3">
        <v>0.39583333333333298</v>
      </c>
      <c r="F607" s="2" t="s">
        <v>15</v>
      </c>
      <c r="G607" s="2" t="s">
        <v>16</v>
      </c>
      <c r="H607" s="2">
        <v>4</v>
      </c>
      <c r="I607" s="2" t="s">
        <v>604</v>
      </c>
      <c r="J607" s="2" t="s">
        <v>769</v>
      </c>
      <c r="K607" s="4" t="s">
        <v>770</v>
      </c>
      <c r="L607" s="2" t="str">
        <f>IFERROR(VLOOKUP(IFERROR(VLOOKUP(C607,'Destination Alias'!$A:$B,2,FALSE()),C607),'Best Months'!$A:$B,2,FALSE()),"Not listed")</f>
        <v>Jan–Mar</v>
      </c>
      <c r="S607" t="s">
        <v>770</v>
      </c>
    </row>
    <row r="608" spans="1:19" x14ac:dyDescent="0.3">
      <c r="A608" s="2" t="s">
        <v>768</v>
      </c>
      <c r="B608" s="2" t="s">
        <v>13</v>
      </c>
      <c r="C608" s="2" t="s">
        <v>137</v>
      </c>
      <c r="D608" s="3">
        <v>0.39583333333333298</v>
      </c>
      <c r="E608" s="3">
        <v>0.45833333333333298</v>
      </c>
      <c r="F608" s="2" t="s">
        <v>15</v>
      </c>
      <c r="G608" s="2" t="s">
        <v>20</v>
      </c>
      <c r="H608" s="2">
        <v>4</v>
      </c>
      <c r="I608" s="2" t="s">
        <v>604</v>
      </c>
      <c r="J608" s="2" t="s">
        <v>769</v>
      </c>
      <c r="K608" s="4" t="s">
        <v>770</v>
      </c>
      <c r="L608" s="2" t="str">
        <f>IFERROR(VLOOKUP(IFERROR(VLOOKUP(C608,'Destination Alias'!$A:$B,2,FALSE()),C608),'Best Months'!$A:$B,2,FALSE()),"Not listed")</f>
        <v>Jan–Mar</v>
      </c>
      <c r="S608" t="s">
        <v>770</v>
      </c>
    </row>
    <row r="609" spans="1:19" x14ac:dyDescent="0.3">
      <c r="A609" s="2" t="s">
        <v>771</v>
      </c>
      <c r="B609" s="2" t="s">
        <v>49</v>
      </c>
      <c r="C609" s="2" t="s">
        <v>14</v>
      </c>
      <c r="D609" s="3">
        <v>0.29166666666666702</v>
      </c>
      <c r="E609" s="3">
        <v>0.375</v>
      </c>
      <c r="F609" s="2" t="s">
        <v>51</v>
      </c>
      <c r="G609" s="2" t="s">
        <v>38</v>
      </c>
      <c r="H609" s="2">
        <v>4.7</v>
      </c>
      <c r="I609" s="2" t="s">
        <v>327</v>
      </c>
      <c r="J609" s="2" t="s">
        <v>772</v>
      </c>
      <c r="K609" s="4" t="s">
        <v>773</v>
      </c>
      <c r="L609" s="2" t="str">
        <f>IFERROR(VLOOKUP(IFERROR(VLOOKUP(C609,'Destination Alias'!$A:$B,2,FALSE()),C609),'Best Months'!$A:$B,2,FALSE()),"Not listed")</f>
        <v>Dec–Mar</v>
      </c>
      <c r="S609" t="s">
        <v>773</v>
      </c>
    </row>
    <row r="610" spans="1:19" x14ac:dyDescent="0.3">
      <c r="A610" s="2" t="s">
        <v>774</v>
      </c>
      <c r="B610" s="2" t="s">
        <v>241</v>
      </c>
      <c r="C610" s="2" t="s">
        <v>163</v>
      </c>
      <c r="D610" s="3">
        <v>0.25</v>
      </c>
      <c r="E610" s="3">
        <v>0.45833333333333298</v>
      </c>
      <c r="F610" s="2" t="s">
        <v>546</v>
      </c>
      <c r="G610" s="2" t="s">
        <v>28</v>
      </c>
      <c r="H610" s="2">
        <v>5</v>
      </c>
      <c r="I610" s="2" t="s">
        <v>775</v>
      </c>
      <c r="J610" s="2" t="s">
        <v>776</v>
      </c>
      <c r="K610" s="2"/>
      <c r="L610" s="2" t="str">
        <f>IFERROR(VLOOKUP(IFERROR(VLOOKUP(C610,'Destination Alias'!$A:$B,2,FALSE()),C610),'Best Months'!$A:$B,2,FALSE()),"Not listed")</f>
        <v>Dec–Mar</v>
      </c>
    </row>
    <row r="611" spans="1:19" x14ac:dyDescent="0.3">
      <c r="A611" s="2" t="s">
        <v>774</v>
      </c>
      <c r="B611" s="2" t="s">
        <v>241</v>
      </c>
      <c r="C611" s="2" t="s">
        <v>163</v>
      </c>
      <c r="D611" s="3">
        <v>0.27083333333333298</v>
      </c>
      <c r="E611" s="3">
        <v>0.47916666666666702</v>
      </c>
      <c r="F611" s="2" t="s">
        <v>546</v>
      </c>
      <c r="G611" s="2" t="s">
        <v>28</v>
      </c>
      <c r="H611" s="2">
        <v>5</v>
      </c>
      <c r="I611" s="2" t="s">
        <v>775</v>
      </c>
      <c r="J611" s="2" t="s">
        <v>776</v>
      </c>
      <c r="K611" s="2"/>
      <c r="L611" s="2" t="str">
        <f>IFERROR(VLOOKUP(IFERROR(VLOOKUP(C611,'Destination Alias'!$A:$B,2,FALSE()),C611),'Best Months'!$A:$B,2,FALSE()),"Not listed")</f>
        <v>Dec–Mar</v>
      </c>
    </row>
    <row r="612" spans="1:19" x14ac:dyDescent="0.3">
      <c r="A612" s="2" t="s">
        <v>774</v>
      </c>
      <c r="B612" s="2" t="s">
        <v>241</v>
      </c>
      <c r="C612" s="2" t="s">
        <v>163</v>
      </c>
      <c r="D612" s="3">
        <v>0.35416666666666702</v>
      </c>
      <c r="E612" s="3">
        <v>0.5625</v>
      </c>
      <c r="F612" s="2" t="s">
        <v>546</v>
      </c>
      <c r="G612" s="2" t="s">
        <v>16</v>
      </c>
      <c r="H612" s="2">
        <v>5</v>
      </c>
      <c r="I612" s="2" t="s">
        <v>775</v>
      </c>
      <c r="J612" s="2" t="s">
        <v>776</v>
      </c>
      <c r="K612" s="2"/>
      <c r="L612" s="2" t="str">
        <f>IFERROR(VLOOKUP(IFERROR(VLOOKUP(C612,'Destination Alias'!$A:$B,2,FALSE()),C612),'Best Months'!$A:$B,2,FALSE()),"Not listed")</f>
        <v>Dec–Mar</v>
      </c>
    </row>
    <row r="613" spans="1:19" x14ac:dyDescent="0.3">
      <c r="A613" s="2" t="s">
        <v>774</v>
      </c>
      <c r="B613" s="2" t="s">
        <v>241</v>
      </c>
      <c r="C613" s="2" t="s">
        <v>163</v>
      </c>
      <c r="D613" s="3">
        <v>0.375</v>
      </c>
      <c r="E613" s="3">
        <v>0.58333333333333304</v>
      </c>
      <c r="F613" s="2" t="s">
        <v>546</v>
      </c>
      <c r="G613" s="2" t="s">
        <v>20</v>
      </c>
      <c r="H613" s="2">
        <v>4</v>
      </c>
      <c r="I613" s="2" t="s">
        <v>775</v>
      </c>
      <c r="J613" s="2" t="s">
        <v>776</v>
      </c>
      <c r="K613" s="2"/>
      <c r="L613" s="2" t="str">
        <f>IFERROR(VLOOKUP(IFERROR(VLOOKUP(C613,'Destination Alias'!$A:$B,2,FALSE()),C613),'Best Months'!$A:$B,2,FALSE()),"Not listed")</f>
        <v>Dec–Mar</v>
      </c>
    </row>
    <row r="614" spans="1:19" x14ac:dyDescent="0.3">
      <c r="A614" s="2" t="s">
        <v>774</v>
      </c>
      <c r="B614" s="2" t="s">
        <v>241</v>
      </c>
      <c r="C614" s="2" t="s">
        <v>163</v>
      </c>
      <c r="D614" s="3">
        <v>0.41666666666666702</v>
      </c>
      <c r="E614" s="3">
        <v>0.625</v>
      </c>
      <c r="F614" s="2" t="s">
        <v>546</v>
      </c>
      <c r="G614" s="2" t="s">
        <v>20</v>
      </c>
      <c r="H614" s="2">
        <v>4</v>
      </c>
      <c r="I614" s="2" t="s">
        <v>775</v>
      </c>
      <c r="J614" s="2" t="s">
        <v>776</v>
      </c>
      <c r="K614" s="2"/>
      <c r="L614" s="2" t="str">
        <f>IFERROR(VLOOKUP(IFERROR(VLOOKUP(C614,'Destination Alias'!$A:$B,2,FALSE()),C614),'Best Months'!$A:$B,2,FALSE()),"Not listed")</f>
        <v>Dec–Mar</v>
      </c>
    </row>
    <row r="615" spans="1:19" x14ac:dyDescent="0.3">
      <c r="A615" s="2" t="s">
        <v>774</v>
      </c>
      <c r="B615" s="2" t="s">
        <v>241</v>
      </c>
      <c r="C615" s="2" t="s">
        <v>163</v>
      </c>
      <c r="D615" s="3">
        <v>0.61111111111111105</v>
      </c>
      <c r="E615" s="3">
        <v>0.81944444444444398</v>
      </c>
      <c r="F615" s="2" t="s">
        <v>546</v>
      </c>
      <c r="G615" s="2" t="s">
        <v>199</v>
      </c>
      <c r="H615" s="2">
        <v>1</v>
      </c>
      <c r="I615" s="2" t="s">
        <v>775</v>
      </c>
      <c r="J615" s="2" t="s">
        <v>776</v>
      </c>
      <c r="K615" s="2"/>
      <c r="L615" s="2" t="str">
        <f>IFERROR(VLOOKUP(IFERROR(VLOOKUP(C615,'Destination Alias'!$A:$B,2,FALSE()),C615),'Best Months'!$A:$B,2,FALSE()),"Not listed")</f>
        <v>Dec–Mar</v>
      </c>
    </row>
    <row r="616" spans="1:19" x14ac:dyDescent="0.3">
      <c r="A616" s="2" t="s">
        <v>774</v>
      </c>
      <c r="B616" s="2" t="s">
        <v>241</v>
      </c>
      <c r="C616" s="2" t="s">
        <v>163</v>
      </c>
      <c r="D616" s="3">
        <v>0.625</v>
      </c>
      <c r="E616" s="3">
        <v>0.83333333333333304</v>
      </c>
      <c r="F616" s="2" t="s">
        <v>546</v>
      </c>
      <c r="G616" s="2" t="s">
        <v>73</v>
      </c>
      <c r="H616" s="2">
        <v>5</v>
      </c>
      <c r="I616" s="2" t="s">
        <v>775</v>
      </c>
      <c r="J616" s="2" t="s">
        <v>776</v>
      </c>
      <c r="K616" s="2"/>
      <c r="L616" s="2" t="str">
        <f>IFERROR(VLOOKUP(IFERROR(VLOOKUP(C616,'Destination Alias'!$A:$B,2,FALSE()),C616),'Best Months'!$A:$B,2,FALSE()),"Not listed")</f>
        <v>Dec–Mar</v>
      </c>
    </row>
    <row r="617" spans="1:19" x14ac:dyDescent="0.3">
      <c r="A617" s="2" t="s">
        <v>774</v>
      </c>
      <c r="B617" s="2" t="s">
        <v>241</v>
      </c>
      <c r="C617" s="2" t="s">
        <v>163</v>
      </c>
      <c r="D617" s="3">
        <v>0.625</v>
      </c>
      <c r="E617" s="3">
        <v>0.83333333333333304</v>
      </c>
      <c r="F617" s="2" t="s">
        <v>546</v>
      </c>
      <c r="G617" s="2" t="s">
        <v>73</v>
      </c>
      <c r="H617" s="2">
        <v>3</v>
      </c>
      <c r="I617" s="2" t="s">
        <v>775</v>
      </c>
      <c r="J617" s="2" t="s">
        <v>776</v>
      </c>
      <c r="K617" s="2"/>
      <c r="L617" s="2" t="str">
        <f>IFERROR(VLOOKUP(IFERROR(VLOOKUP(C617,'Destination Alias'!$A:$B,2,FALSE()),C617),'Best Months'!$A:$B,2,FALSE()),"Not listed")</f>
        <v>Dec–Mar</v>
      </c>
    </row>
    <row r="618" spans="1:19" x14ac:dyDescent="0.3">
      <c r="A618" s="2" t="s">
        <v>774</v>
      </c>
      <c r="B618" s="2" t="s">
        <v>241</v>
      </c>
      <c r="C618" s="2" t="s">
        <v>163</v>
      </c>
      <c r="D618" s="3">
        <v>0.72916666666666696</v>
      </c>
      <c r="E618" s="3">
        <v>0.9375</v>
      </c>
      <c r="F618" s="2" t="s">
        <v>546</v>
      </c>
      <c r="G618" s="2" t="s">
        <v>52</v>
      </c>
      <c r="H618" s="2">
        <v>1</v>
      </c>
      <c r="I618" s="2" t="s">
        <v>775</v>
      </c>
      <c r="J618" s="2" t="s">
        <v>776</v>
      </c>
      <c r="K618" s="2"/>
      <c r="L618" s="2" t="str">
        <f>IFERROR(VLOOKUP(IFERROR(VLOOKUP(C618,'Destination Alias'!$A:$B,2,FALSE()),C618),'Best Months'!$A:$B,2,FALSE()),"Not listed")</f>
        <v>Dec–Mar</v>
      </c>
    </row>
    <row r="619" spans="1:19" x14ac:dyDescent="0.3">
      <c r="A619" s="2" t="s">
        <v>774</v>
      </c>
      <c r="B619" s="2" t="s">
        <v>241</v>
      </c>
      <c r="C619" s="2" t="s">
        <v>163</v>
      </c>
      <c r="D619" s="3">
        <v>0.75</v>
      </c>
      <c r="E619" s="3">
        <v>0.95833333333333304</v>
      </c>
      <c r="F619" s="2" t="s">
        <v>546</v>
      </c>
      <c r="G619" s="2" t="s">
        <v>102</v>
      </c>
      <c r="H619" s="2">
        <v>5</v>
      </c>
      <c r="I619" s="2" t="s">
        <v>775</v>
      </c>
      <c r="J619" s="2" t="s">
        <v>776</v>
      </c>
      <c r="K619" s="2"/>
      <c r="L619" s="2" t="str">
        <f>IFERROR(VLOOKUP(IFERROR(VLOOKUP(C619,'Destination Alias'!$A:$B,2,FALSE()),C619),'Best Months'!$A:$B,2,FALSE()),"Not listed")</f>
        <v>Dec–Mar</v>
      </c>
    </row>
    <row r="620" spans="1:19" x14ac:dyDescent="0.3">
      <c r="A620" s="2" t="s">
        <v>774</v>
      </c>
      <c r="B620" s="2" t="s">
        <v>241</v>
      </c>
      <c r="C620" s="2" t="s">
        <v>163</v>
      </c>
      <c r="D620" s="3">
        <v>0.95833333333333304</v>
      </c>
      <c r="E620" s="3">
        <v>0.16666666666666699</v>
      </c>
      <c r="F620" s="2" t="s">
        <v>546</v>
      </c>
      <c r="G620" s="2" t="s">
        <v>380</v>
      </c>
      <c r="H620" s="2">
        <v>4</v>
      </c>
      <c r="I620" s="2" t="s">
        <v>775</v>
      </c>
      <c r="J620" s="2" t="s">
        <v>776</v>
      </c>
      <c r="K620" s="2"/>
      <c r="L620" s="2" t="str">
        <f>IFERROR(VLOOKUP(IFERROR(VLOOKUP(C620,'Destination Alias'!$A:$B,2,FALSE()),C620),'Best Months'!$A:$B,2,FALSE()),"Not listed")</f>
        <v>Dec–Mar</v>
      </c>
    </row>
    <row r="621" spans="1:19" x14ac:dyDescent="0.3">
      <c r="A621" s="2" t="s">
        <v>774</v>
      </c>
      <c r="B621" s="2" t="s">
        <v>241</v>
      </c>
      <c r="C621" s="2" t="s">
        <v>163</v>
      </c>
      <c r="D621" s="3">
        <v>0.27083333333333298</v>
      </c>
      <c r="E621" s="3">
        <v>0.47916666666666702</v>
      </c>
      <c r="F621" s="2" t="s">
        <v>546</v>
      </c>
      <c r="G621" s="2" t="s">
        <v>28</v>
      </c>
      <c r="H621" s="2">
        <v>4.2</v>
      </c>
      <c r="I621" s="2" t="s">
        <v>775</v>
      </c>
      <c r="J621" s="2" t="s">
        <v>776</v>
      </c>
      <c r="K621" s="2"/>
      <c r="L621" s="2" t="str">
        <f>IFERROR(VLOOKUP(IFERROR(VLOOKUP(C621,'Destination Alias'!$A:$B,2,FALSE()),C621),'Best Months'!$A:$B,2,FALSE()),"Not listed")</f>
        <v>Dec–Mar</v>
      </c>
    </row>
    <row r="622" spans="1:19" x14ac:dyDescent="0.3">
      <c r="A622" s="2" t="s">
        <v>777</v>
      </c>
      <c r="B622" s="2" t="s">
        <v>13</v>
      </c>
      <c r="C622" s="2" t="s">
        <v>213</v>
      </c>
      <c r="D622" s="3">
        <v>0.33333333333333298</v>
      </c>
      <c r="E622" s="3">
        <v>0.39583333333333298</v>
      </c>
      <c r="F622" s="2" t="s">
        <v>15</v>
      </c>
      <c r="G622" s="2" t="s">
        <v>16</v>
      </c>
      <c r="H622" s="2">
        <v>3.9</v>
      </c>
      <c r="I622" s="2" t="s">
        <v>604</v>
      </c>
      <c r="J622" s="2" t="s">
        <v>778</v>
      </c>
      <c r="K622" s="4" t="s">
        <v>779</v>
      </c>
      <c r="L622" s="2" t="str">
        <f>IFERROR(VLOOKUP(IFERROR(VLOOKUP(C622,'Destination Alias'!$A:$B,2,FALSE()),C622),'Best Months'!$A:$B,2,FALSE()),"Not listed")</f>
        <v>Jan–Mar</v>
      </c>
      <c r="S622" t="s">
        <v>779</v>
      </c>
    </row>
    <row r="623" spans="1:19" x14ac:dyDescent="0.3">
      <c r="A623" s="2" t="s">
        <v>777</v>
      </c>
      <c r="B623" s="2" t="s">
        <v>13</v>
      </c>
      <c r="C623" s="2" t="s">
        <v>213</v>
      </c>
      <c r="D623" s="3">
        <v>0.39583333333333298</v>
      </c>
      <c r="E623" s="3">
        <v>0.45833333333333298</v>
      </c>
      <c r="F623" s="2" t="s">
        <v>15</v>
      </c>
      <c r="G623" s="2" t="s">
        <v>20</v>
      </c>
      <c r="H623" s="2">
        <v>3.9</v>
      </c>
      <c r="I623" s="2" t="s">
        <v>604</v>
      </c>
      <c r="J623" s="2" t="s">
        <v>778</v>
      </c>
      <c r="K623" s="4" t="s">
        <v>779</v>
      </c>
      <c r="L623" s="2" t="str">
        <f>IFERROR(VLOOKUP(IFERROR(VLOOKUP(C623,'Destination Alias'!$A:$B,2,FALSE()),C623),'Best Months'!$A:$B,2,FALSE()),"Not listed")</f>
        <v>Jan–Mar</v>
      </c>
      <c r="S623" t="s">
        <v>779</v>
      </c>
    </row>
    <row r="624" spans="1:19" x14ac:dyDescent="0.3">
      <c r="A624" s="2" t="s">
        <v>780</v>
      </c>
      <c r="B624" s="2" t="s">
        <v>13</v>
      </c>
      <c r="C624" s="2" t="s">
        <v>213</v>
      </c>
      <c r="D624" s="3">
        <v>0.27083333333333298</v>
      </c>
      <c r="E624" s="3">
        <v>0.35416666666666702</v>
      </c>
      <c r="F624" s="2" t="s">
        <v>51</v>
      </c>
      <c r="G624" s="2" t="s">
        <v>28</v>
      </c>
      <c r="H624" s="2">
        <v>3.9</v>
      </c>
      <c r="I624" s="2" t="s">
        <v>781</v>
      </c>
      <c r="J624" s="2" t="s">
        <v>782</v>
      </c>
      <c r="K624" s="4" t="s">
        <v>783</v>
      </c>
      <c r="L624" s="2" t="str">
        <f>IFERROR(VLOOKUP(IFERROR(VLOOKUP(C624,'Destination Alias'!$A:$B,2,FALSE()),C624),'Best Months'!$A:$B,2,FALSE()),"Not listed")</f>
        <v>Jan–Mar</v>
      </c>
      <c r="S624" t="s">
        <v>783</v>
      </c>
    </row>
    <row r="625" spans="1:19" x14ac:dyDescent="0.3">
      <c r="A625" s="2" t="s">
        <v>784</v>
      </c>
      <c r="B625" s="2" t="s">
        <v>13</v>
      </c>
      <c r="C625" s="2" t="s">
        <v>213</v>
      </c>
      <c r="D625" s="3">
        <v>0.33333333333333298</v>
      </c>
      <c r="E625" s="3">
        <v>0.39583333333333298</v>
      </c>
      <c r="F625" s="2" t="s">
        <v>15</v>
      </c>
      <c r="G625" s="2" t="s">
        <v>16</v>
      </c>
      <c r="H625" s="2">
        <v>3.9</v>
      </c>
      <c r="I625" s="2" t="s">
        <v>604</v>
      </c>
      <c r="J625" s="2" t="s">
        <v>785</v>
      </c>
      <c r="K625" s="2" t="s">
        <v>786</v>
      </c>
      <c r="L625" s="2" t="str">
        <f>IFERROR(VLOOKUP(IFERROR(VLOOKUP(C625,'Destination Alias'!$A:$B,2,FALSE()),C625),'Best Months'!$A:$B,2,FALSE()),"Not listed")</f>
        <v>Jan–Mar</v>
      </c>
    </row>
    <row r="626" spans="1:19" x14ac:dyDescent="0.3">
      <c r="A626" s="2" t="s">
        <v>784</v>
      </c>
      <c r="B626" s="2" t="s">
        <v>13</v>
      </c>
      <c r="C626" s="2" t="s">
        <v>213</v>
      </c>
      <c r="D626" s="3">
        <v>0.39583333333333298</v>
      </c>
      <c r="E626" s="3">
        <v>0.45833333333333298</v>
      </c>
      <c r="F626" s="2" t="s">
        <v>15</v>
      </c>
      <c r="G626" s="2" t="s">
        <v>20</v>
      </c>
      <c r="H626" s="2">
        <v>3.9</v>
      </c>
      <c r="I626" s="2" t="s">
        <v>604</v>
      </c>
      <c r="J626" s="2" t="s">
        <v>785</v>
      </c>
      <c r="K626" s="2" t="s">
        <v>786</v>
      </c>
      <c r="L626" s="2" t="str">
        <f>IFERROR(VLOOKUP(IFERROR(VLOOKUP(C626,'Destination Alias'!$A:$B,2,FALSE()),C626),'Best Months'!$A:$B,2,FALSE()),"Not listed")</f>
        <v>Jan–Mar</v>
      </c>
    </row>
    <row r="627" spans="1:19" x14ac:dyDescent="0.3">
      <c r="A627" s="2" t="s">
        <v>787</v>
      </c>
      <c r="B627" s="2" t="s">
        <v>13</v>
      </c>
      <c r="C627" s="2" t="s">
        <v>213</v>
      </c>
      <c r="D627" s="3">
        <v>0.33333333333333298</v>
      </c>
      <c r="E627" s="3">
        <v>0.39583333333333298</v>
      </c>
      <c r="F627" s="2" t="s">
        <v>15</v>
      </c>
      <c r="G627" s="2" t="s">
        <v>16</v>
      </c>
      <c r="H627" s="2">
        <v>3.9</v>
      </c>
      <c r="I627" s="2" t="s">
        <v>604</v>
      </c>
      <c r="J627" s="2" t="s">
        <v>788</v>
      </c>
      <c r="K627" s="4" t="s">
        <v>789</v>
      </c>
      <c r="L627" s="2" t="str">
        <f>IFERROR(VLOOKUP(IFERROR(VLOOKUP(C627,'Destination Alias'!$A:$B,2,FALSE()),C627),'Best Months'!$A:$B,2,FALSE()),"Not listed")</f>
        <v>Jan–Mar</v>
      </c>
      <c r="S627" t="s">
        <v>789</v>
      </c>
    </row>
    <row r="628" spans="1:19" x14ac:dyDescent="0.3">
      <c r="A628" s="2" t="s">
        <v>787</v>
      </c>
      <c r="B628" s="2" t="s">
        <v>13</v>
      </c>
      <c r="C628" s="2" t="s">
        <v>213</v>
      </c>
      <c r="D628" s="3">
        <v>0.39583333333333298</v>
      </c>
      <c r="E628" s="3">
        <v>0.45833333333333298</v>
      </c>
      <c r="F628" s="2" t="s">
        <v>15</v>
      </c>
      <c r="G628" s="2" t="s">
        <v>20</v>
      </c>
      <c r="H628" s="2">
        <v>3.9</v>
      </c>
      <c r="I628" s="2" t="s">
        <v>604</v>
      </c>
      <c r="J628" s="2" t="s">
        <v>788</v>
      </c>
      <c r="K628" s="4" t="s">
        <v>789</v>
      </c>
      <c r="L628" s="2" t="str">
        <f>IFERROR(VLOOKUP(IFERROR(VLOOKUP(C628,'Destination Alias'!$A:$B,2,FALSE()),C628),'Best Months'!$A:$B,2,FALSE()),"Not listed")</f>
        <v>Jan–Mar</v>
      </c>
      <c r="S628" t="s">
        <v>789</v>
      </c>
    </row>
    <row r="629" spans="1:19" x14ac:dyDescent="0.3">
      <c r="A629" s="2" t="s">
        <v>790</v>
      </c>
      <c r="B629" s="2" t="s">
        <v>22</v>
      </c>
      <c r="C629" s="2" t="s">
        <v>27</v>
      </c>
      <c r="D629" s="3">
        <v>0.25</v>
      </c>
      <c r="E629" s="3">
        <v>0.29166666666666702</v>
      </c>
      <c r="F629" s="2" t="s">
        <v>35</v>
      </c>
      <c r="G629" s="2" t="s">
        <v>28</v>
      </c>
      <c r="H629" s="2">
        <v>4.5999999999999996</v>
      </c>
      <c r="I629" s="2" t="s">
        <v>791</v>
      </c>
      <c r="J629" s="2" t="s">
        <v>792</v>
      </c>
      <c r="K629" s="2"/>
      <c r="L629" s="2" t="str">
        <f>IFERROR(VLOOKUP(IFERROR(VLOOKUP(C629,'Destination Alias'!$A:$B,2,FALSE()),C629),'Best Months'!$A:$B,2,FALSE()),"Not listed")</f>
        <v>May–Sep</v>
      </c>
    </row>
    <row r="630" spans="1:19" x14ac:dyDescent="0.3">
      <c r="A630" s="2" t="s">
        <v>790</v>
      </c>
      <c r="B630" s="2" t="s">
        <v>22</v>
      </c>
      <c r="C630" s="2" t="s">
        <v>27</v>
      </c>
      <c r="D630" s="3">
        <v>0.29166666666666702</v>
      </c>
      <c r="E630" s="3">
        <v>0.33333333333333298</v>
      </c>
      <c r="F630" s="2" t="s">
        <v>35</v>
      </c>
      <c r="G630" s="2" t="s">
        <v>38</v>
      </c>
      <c r="H630" s="2">
        <v>4.5999999999999996</v>
      </c>
      <c r="I630" s="2" t="s">
        <v>791</v>
      </c>
      <c r="J630" s="2" t="s">
        <v>792</v>
      </c>
      <c r="K630" s="2"/>
      <c r="L630" s="2" t="str">
        <f>IFERROR(VLOOKUP(IFERROR(VLOOKUP(C630,'Destination Alias'!$A:$B,2,FALSE()),C630),'Best Months'!$A:$B,2,FALSE()),"Not listed")</f>
        <v>May–Sep</v>
      </c>
    </row>
    <row r="631" spans="1:19" x14ac:dyDescent="0.3">
      <c r="A631" s="2" t="s">
        <v>793</v>
      </c>
      <c r="B631" s="2" t="s">
        <v>22</v>
      </c>
      <c r="C631" s="2" t="s">
        <v>27</v>
      </c>
      <c r="D631" s="3">
        <v>0.25</v>
      </c>
      <c r="E631" s="3">
        <v>0.375</v>
      </c>
      <c r="F631" s="2" t="s">
        <v>61</v>
      </c>
      <c r="G631" s="2" t="s">
        <v>28</v>
      </c>
      <c r="H631" s="2">
        <v>4.3</v>
      </c>
      <c r="I631" s="2" t="s">
        <v>794</v>
      </c>
      <c r="J631" s="2" t="s">
        <v>795</v>
      </c>
      <c r="K631" s="2"/>
      <c r="L631" s="2" t="str">
        <f>IFERROR(VLOOKUP(IFERROR(VLOOKUP(C631,'Destination Alias'!$A:$B,2,FALSE()),C631),'Best Months'!$A:$B,2,FALSE()),"Not listed")</f>
        <v>May–Sep</v>
      </c>
    </row>
    <row r="632" spans="1:19" x14ac:dyDescent="0.3">
      <c r="A632" s="2" t="s">
        <v>796</v>
      </c>
      <c r="B632" s="2" t="s">
        <v>22</v>
      </c>
      <c r="C632" s="2" t="s">
        <v>40</v>
      </c>
      <c r="D632" s="3">
        <v>0.25</v>
      </c>
      <c r="E632" s="3">
        <v>0.29166666666666702</v>
      </c>
      <c r="F632" s="2" t="s">
        <v>35</v>
      </c>
      <c r="G632" s="2" t="s">
        <v>28</v>
      </c>
      <c r="H632" s="2">
        <v>4.5</v>
      </c>
      <c r="I632" s="2" t="s">
        <v>797</v>
      </c>
      <c r="J632" s="2" t="s">
        <v>798</v>
      </c>
      <c r="K632" s="4" t="s">
        <v>799</v>
      </c>
      <c r="L632" s="2" t="str">
        <f>IFERROR(VLOOKUP(IFERROR(VLOOKUP(C632,'Destination Alias'!$A:$B,2,FALSE()),C632),'Best Months'!$A:$B,2,FALSE()),"Not listed")</f>
        <v>Jan–Mar, Jul–Aug</v>
      </c>
      <c r="S632" t="s">
        <v>799</v>
      </c>
    </row>
    <row r="633" spans="1:19" x14ac:dyDescent="0.3">
      <c r="A633" s="2" t="s">
        <v>796</v>
      </c>
      <c r="B633" s="2" t="s">
        <v>22</v>
      </c>
      <c r="C633" s="2" t="s">
        <v>40</v>
      </c>
      <c r="D633" s="3">
        <v>0.29166666666666702</v>
      </c>
      <c r="E633" s="3">
        <v>0.33333333333333298</v>
      </c>
      <c r="F633" s="2" t="s">
        <v>35</v>
      </c>
      <c r="G633" s="2" t="s">
        <v>38</v>
      </c>
      <c r="H633" s="2">
        <v>4.5</v>
      </c>
      <c r="I633" s="2" t="s">
        <v>797</v>
      </c>
      <c r="J633" s="2" t="s">
        <v>798</v>
      </c>
      <c r="K633" s="4" t="s">
        <v>799</v>
      </c>
      <c r="L633" s="2" t="str">
        <f>IFERROR(VLOOKUP(IFERROR(VLOOKUP(C633,'Destination Alias'!$A:$B,2,FALSE()),C633),'Best Months'!$A:$B,2,FALSE()),"Not listed")</f>
        <v>Jan–Mar, Jul–Aug</v>
      </c>
      <c r="S633" t="s">
        <v>799</v>
      </c>
    </row>
    <row r="634" spans="1:19" x14ac:dyDescent="0.3">
      <c r="A634" s="2" t="s">
        <v>796</v>
      </c>
      <c r="B634" s="2" t="s">
        <v>22</v>
      </c>
      <c r="C634" s="2" t="s">
        <v>40</v>
      </c>
      <c r="D634" s="3">
        <v>0.33333333333333298</v>
      </c>
      <c r="E634" s="3">
        <v>0.375</v>
      </c>
      <c r="F634" s="2" t="s">
        <v>35</v>
      </c>
      <c r="G634" s="2" t="s">
        <v>16</v>
      </c>
      <c r="H634" s="2">
        <v>4.5</v>
      </c>
      <c r="I634" s="2" t="s">
        <v>797</v>
      </c>
      <c r="J634" s="2" t="s">
        <v>798</v>
      </c>
      <c r="K634" s="4" t="s">
        <v>799</v>
      </c>
      <c r="L634" s="2" t="str">
        <f>IFERROR(VLOOKUP(IFERROR(VLOOKUP(C634,'Destination Alias'!$A:$B,2,FALSE()),C634),'Best Months'!$A:$B,2,FALSE()),"Not listed")</f>
        <v>Jan–Mar, Jul–Aug</v>
      </c>
      <c r="S634" t="s">
        <v>799</v>
      </c>
    </row>
    <row r="635" spans="1:19" x14ac:dyDescent="0.3">
      <c r="A635" s="2" t="s">
        <v>800</v>
      </c>
      <c r="B635" s="2" t="s">
        <v>22</v>
      </c>
      <c r="C635" s="2" t="s">
        <v>108</v>
      </c>
      <c r="D635" s="3">
        <v>0.29166666666666702</v>
      </c>
      <c r="E635" s="3">
        <v>0.32291666666666702</v>
      </c>
      <c r="F635" s="2" t="s">
        <v>90</v>
      </c>
      <c r="G635" s="2" t="s">
        <v>38</v>
      </c>
      <c r="H635" s="2">
        <v>4.5999999999999996</v>
      </c>
      <c r="I635" s="2" t="s">
        <v>801</v>
      </c>
      <c r="J635" s="2" t="s">
        <v>802</v>
      </c>
      <c r="K635" s="4" t="s">
        <v>803</v>
      </c>
      <c r="L635" s="2" t="str">
        <f>IFERROR(VLOOKUP(IFERROR(VLOOKUP(C635,'Destination Alias'!$A:$B,2,FALSE()),C635),'Best Months'!$A:$B,2,FALSE()),"Not listed")</f>
        <v>Jan–Mar, Jul–Aug</v>
      </c>
      <c r="S635" t="s">
        <v>803</v>
      </c>
    </row>
    <row r="636" spans="1:19" x14ac:dyDescent="0.3">
      <c r="A636" s="2" t="s">
        <v>800</v>
      </c>
      <c r="B636" s="2" t="s">
        <v>22</v>
      </c>
      <c r="C636" s="2" t="s">
        <v>108</v>
      </c>
      <c r="D636" s="3">
        <v>0.32291666666666702</v>
      </c>
      <c r="E636" s="3">
        <v>0.35416666666666702</v>
      </c>
      <c r="F636" s="2" t="s">
        <v>90</v>
      </c>
      <c r="G636" s="2" t="s">
        <v>38</v>
      </c>
      <c r="H636" s="2">
        <v>4.5999999999999996</v>
      </c>
      <c r="I636" s="2" t="s">
        <v>801</v>
      </c>
      <c r="J636" s="2" t="s">
        <v>802</v>
      </c>
      <c r="K636" s="4" t="s">
        <v>803</v>
      </c>
      <c r="L636" s="2" t="str">
        <f>IFERROR(VLOOKUP(IFERROR(VLOOKUP(C636,'Destination Alias'!$A:$B,2,FALSE()),C636),'Best Months'!$A:$B,2,FALSE()),"Not listed")</f>
        <v>Jan–Mar, Jul–Aug</v>
      </c>
      <c r="S636" t="s">
        <v>803</v>
      </c>
    </row>
    <row r="637" spans="1:19" x14ac:dyDescent="0.3">
      <c r="A637" s="2" t="s">
        <v>800</v>
      </c>
      <c r="B637" s="2" t="s">
        <v>22</v>
      </c>
      <c r="C637" s="2" t="s">
        <v>108</v>
      </c>
      <c r="D637" s="3">
        <v>0.35416666666666702</v>
      </c>
      <c r="E637" s="3">
        <v>0.38541666666666702</v>
      </c>
      <c r="F637" s="2" t="s">
        <v>90</v>
      </c>
      <c r="G637" s="2" t="s">
        <v>16</v>
      </c>
      <c r="H637" s="2">
        <v>4.5999999999999996</v>
      </c>
      <c r="I637" s="2" t="s">
        <v>801</v>
      </c>
      <c r="J637" s="2" t="s">
        <v>802</v>
      </c>
      <c r="K637" s="4" t="s">
        <v>803</v>
      </c>
      <c r="L637" s="2" t="str">
        <f>IFERROR(VLOOKUP(IFERROR(VLOOKUP(C637,'Destination Alias'!$A:$B,2,FALSE()),C637),'Best Months'!$A:$B,2,FALSE()),"Not listed")</f>
        <v>Jan–Mar, Jul–Aug</v>
      </c>
      <c r="S637" t="s">
        <v>803</v>
      </c>
    </row>
    <row r="638" spans="1:19" x14ac:dyDescent="0.3">
      <c r="A638" s="2" t="s">
        <v>800</v>
      </c>
      <c r="B638" s="2" t="s">
        <v>22</v>
      </c>
      <c r="C638" s="2" t="s">
        <v>108</v>
      </c>
      <c r="D638" s="3">
        <v>0.38541666666666702</v>
      </c>
      <c r="E638" s="3">
        <v>0.41666666666666702</v>
      </c>
      <c r="F638" s="2" t="s">
        <v>90</v>
      </c>
      <c r="G638" s="2" t="s">
        <v>20</v>
      </c>
      <c r="H638" s="2">
        <v>4.5999999999999996</v>
      </c>
      <c r="I638" s="2" t="s">
        <v>801</v>
      </c>
      <c r="J638" s="2" t="s">
        <v>802</v>
      </c>
      <c r="K638" s="4" t="s">
        <v>803</v>
      </c>
      <c r="L638" s="2" t="str">
        <f>IFERROR(VLOOKUP(IFERROR(VLOOKUP(C638,'Destination Alias'!$A:$B,2,FALSE()),C638),'Best Months'!$A:$B,2,FALSE()),"Not listed")</f>
        <v>Jan–Mar, Jul–Aug</v>
      </c>
      <c r="S638" t="s">
        <v>803</v>
      </c>
    </row>
    <row r="639" spans="1:19" x14ac:dyDescent="0.3">
      <c r="A639" s="2" t="s">
        <v>804</v>
      </c>
      <c r="B639" s="2" t="s">
        <v>13</v>
      </c>
      <c r="C639" s="2" t="s">
        <v>40</v>
      </c>
      <c r="D639" s="3">
        <v>0.1875</v>
      </c>
      <c r="E639" s="3">
        <v>0.39583333333333298</v>
      </c>
      <c r="F639" s="2" t="s">
        <v>546</v>
      </c>
      <c r="G639" s="2" t="s">
        <v>52</v>
      </c>
      <c r="H639" s="2">
        <v>4.5</v>
      </c>
      <c r="I639" s="2" t="s">
        <v>805</v>
      </c>
      <c r="J639" s="2" t="s">
        <v>806</v>
      </c>
      <c r="K639" s="4" t="s">
        <v>807</v>
      </c>
      <c r="L639" s="2" t="str">
        <f>IFERROR(VLOOKUP(IFERROR(VLOOKUP(C639,'Destination Alias'!$A:$B,2,FALSE()),C639),'Best Months'!$A:$B,2,FALSE()),"Not listed")</f>
        <v>Jan–Mar, Jul–Aug</v>
      </c>
      <c r="S639" t="s">
        <v>807</v>
      </c>
    </row>
    <row r="640" spans="1:19" x14ac:dyDescent="0.3">
      <c r="A640" s="2" t="s">
        <v>808</v>
      </c>
      <c r="B640" s="2" t="s">
        <v>13</v>
      </c>
      <c r="C640" s="2" t="s">
        <v>40</v>
      </c>
      <c r="D640" s="3">
        <v>0.1875</v>
      </c>
      <c r="E640" s="3">
        <v>0.39583333333333298</v>
      </c>
      <c r="F640" s="2" t="s">
        <v>546</v>
      </c>
      <c r="G640" s="2" t="s">
        <v>52</v>
      </c>
      <c r="H640" s="2">
        <v>4.5</v>
      </c>
      <c r="I640" s="2" t="s">
        <v>809</v>
      </c>
      <c r="J640" s="2" t="s">
        <v>810</v>
      </c>
      <c r="K640" s="4" t="s">
        <v>807</v>
      </c>
      <c r="L640" s="2" t="str">
        <f>IFERROR(VLOOKUP(IFERROR(VLOOKUP(C640,'Destination Alias'!$A:$B,2,FALSE()),C640),'Best Months'!$A:$B,2,FALSE()),"Not listed")</f>
        <v>Jan–Mar, Jul–Aug</v>
      </c>
      <c r="S640" t="s">
        <v>807</v>
      </c>
    </row>
    <row r="641" spans="1:19" x14ac:dyDescent="0.3">
      <c r="A641" s="2" t="s">
        <v>811</v>
      </c>
      <c r="B641" s="2" t="s">
        <v>49</v>
      </c>
      <c r="C641" s="2" t="s">
        <v>50</v>
      </c>
      <c r="D641" s="3">
        <v>0.375</v>
      </c>
      <c r="E641" s="3">
        <v>0.41666666666666702</v>
      </c>
      <c r="F641" s="2" t="s">
        <v>35</v>
      </c>
      <c r="G641" s="2" t="s">
        <v>20</v>
      </c>
      <c r="H641" s="2">
        <v>4.5</v>
      </c>
      <c r="I641" s="2" t="s">
        <v>812</v>
      </c>
      <c r="J641" s="2" t="s">
        <v>813</v>
      </c>
      <c r="K641" s="4" t="s">
        <v>814</v>
      </c>
      <c r="L641" s="2" t="str">
        <f>IFERROR(VLOOKUP(IFERROR(VLOOKUP(C641,'Destination Alias'!$A:$B,2,FALSE()),C641),'Best Months'!$A:$B,2,FALSE()),"Not listed")</f>
        <v>Dec–Mar</v>
      </c>
      <c r="S641" t="s">
        <v>814</v>
      </c>
    </row>
    <row r="642" spans="1:19" x14ac:dyDescent="0.3">
      <c r="A642" s="2" t="s">
        <v>811</v>
      </c>
      <c r="B642" s="2" t="s">
        <v>49</v>
      </c>
      <c r="C642" s="2" t="s">
        <v>50</v>
      </c>
      <c r="D642" s="3">
        <v>0.41666666666666702</v>
      </c>
      <c r="E642" s="3">
        <v>0.45833333333333298</v>
      </c>
      <c r="F642" s="2" t="s">
        <v>35</v>
      </c>
      <c r="G642" s="2" t="s">
        <v>20</v>
      </c>
      <c r="H642" s="2">
        <v>4.5</v>
      </c>
      <c r="I642" s="2" t="s">
        <v>812</v>
      </c>
      <c r="J642" s="2" t="s">
        <v>813</v>
      </c>
      <c r="K642" s="4" t="s">
        <v>814</v>
      </c>
      <c r="L642" s="2" t="str">
        <f>IFERROR(VLOOKUP(IFERROR(VLOOKUP(C642,'Destination Alias'!$A:$B,2,FALSE()),C642),'Best Months'!$A:$B,2,FALSE()),"Not listed")</f>
        <v>Dec–Mar</v>
      </c>
      <c r="S642" t="s">
        <v>814</v>
      </c>
    </row>
    <row r="643" spans="1:19" x14ac:dyDescent="0.3">
      <c r="A643" s="2" t="s">
        <v>811</v>
      </c>
      <c r="B643" s="2" t="s">
        <v>49</v>
      </c>
      <c r="C643" s="2" t="s">
        <v>50</v>
      </c>
      <c r="D643" s="3">
        <v>0.45833333333333298</v>
      </c>
      <c r="E643" s="3">
        <v>0.5</v>
      </c>
      <c r="F643" s="2" t="s">
        <v>35</v>
      </c>
      <c r="G643" s="2" t="s">
        <v>220</v>
      </c>
      <c r="H643" s="2">
        <v>4.5</v>
      </c>
      <c r="I643" s="2" t="s">
        <v>812</v>
      </c>
      <c r="J643" s="2" t="s">
        <v>813</v>
      </c>
      <c r="K643" s="4" t="s">
        <v>814</v>
      </c>
      <c r="L643" s="2" t="str">
        <f>IFERROR(VLOOKUP(IFERROR(VLOOKUP(C643,'Destination Alias'!$A:$B,2,FALSE()),C643),'Best Months'!$A:$B,2,FALSE()),"Not listed")</f>
        <v>Dec–Mar</v>
      </c>
      <c r="S643" t="s">
        <v>814</v>
      </c>
    </row>
    <row r="644" spans="1:19" x14ac:dyDescent="0.3">
      <c r="A644" s="2" t="s">
        <v>815</v>
      </c>
      <c r="B644" s="2" t="s">
        <v>49</v>
      </c>
      <c r="C644" s="2" t="s">
        <v>163</v>
      </c>
      <c r="D644" s="3">
        <v>0.375</v>
      </c>
      <c r="E644" s="3">
        <v>0.41666666666666702</v>
      </c>
      <c r="F644" s="2" t="s">
        <v>35</v>
      </c>
      <c r="G644" s="2" t="s">
        <v>20</v>
      </c>
      <c r="H644" s="2">
        <v>4.5</v>
      </c>
      <c r="I644" s="2" t="s">
        <v>816</v>
      </c>
      <c r="J644" s="2" t="s">
        <v>817</v>
      </c>
      <c r="K644" s="4" t="s">
        <v>818</v>
      </c>
      <c r="L644" s="2" t="str">
        <f>IFERROR(VLOOKUP(IFERROR(VLOOKUP(C644,'Destination Alias'!$A:$B,2,FALSE()),C644),'Best Months'!$A:$B,2,FALSE()),"Not listed")</f>
        <v>Dec–Mar</v>
      </c>
      <c r="S644" t="s">
        <v>818</v>
      </c>
    </row>
    <row r="645" spans="1:19" x14ac:dyDescent="0.3">
      <c r="A645" s="2" t="s">
        <v>815</v>
      </c>
      <c r="B645" s="2" t="s">
        <v>49</v>
      </c>
      <c r="C645" s="2" t="s">
        <v>163</v>
      </c>
      <c r="D645" s="3">
        <v>0.41666666666666702</v>
      </c>
      <c r="E645" s="3">
        <v>0.45833333333333298</v>
      </c>
      <c r="F645" s="2" t="s">
        <v>35</v>
      </c>
      <c r="G645" s="2" t="s">
        <v>20</v>
      </c>
      <c r="H645" s="2">
        <v>4.5</v>
      </c>
      <c r="I645" s="2" t="s">
        <v>816</v>
      </c>
      <c r="J645" s="2" t="s">
        <v>817</v>
      </c>
      <c r="K645" s="4" t="s">
        <v>818</v>
      </c>
      <c r="L645" s="2" t="str">
        <f>IFERROR(VLOOKUP(IFERROR(VLOOKUP(C645,'Destination Alias'!$A:$B,2,FALSE()),C645),'Best Months'!$A:$B,2,FALSE()),"Not listed")</f>
        <v>Dec–Mar</v>
      </c>
      <c r="S645" t="s">
        <v>818</v>
      </c>
    </row>
    <row r="646" spans="1:19" x14ac:dyDescent="0.3">
      <c r="A646" s="2" t="s">
        <v>815</v>
      </c>
      <c r="B646" s="2" t="s">
        <v>49</v>
      </c>
      <c r="C646" s="2" t="s">
        <v>163</v>
      </c>
      <c r="D646" s="3">
        <v>0.45833333333333298</v>
      </c>
      <c r="E646" s="3">
        <v>0.5</v>
      </c>
      <c r="F646" s="2" t="s">
        <v>35</v>
      </c>
      <c r="G646" s="2" t="s">
        <v>220</v>
      </c>
      <c r="H646" s="2">
        <v>4.5</v>
      </c>
      <c r="I646" s="2" t="s">
        <v>816</v>
      </c>
      <c r="J646" s="2" t="s">
        <v>817</v>
      </c>
      <c r="K646" s="4" t="s">
        <v>818</v>
      </c>
      <c r="L646" s="2" t="str">
        <f>IFERROR(VLOOKUP(IFERROR(VLOOKUP(C646,'Destination Alias'!$A:$B,2,FALSE()),C646),'Best Months'!$A:$B,2,FALSE()),"Not listed")</f>
        <v>Dec–Mar</v>
      </c>
      <c r="S646" t="s">
        <v>818</v>
      </c>
    </row>
    <row r="647" spans="1:19" x14ac:dyDescent="0.3">
      <c r="A647" s="2" t="s">
        <v>819</v>
      </c>
      <c r="B647" s="2" t="s">
        <v>49</v>
      </c>
      <c r="C647" s="2" t="s">
        <v>108</v>
      </c>
      <c r="D647" s="3">
        <v>0.375</v>
      </c>
      <c r="E647" s="3">
        <v>0.41666666666666702</v>
      </c>
      <c r="F647" s="2" t="s">
        <v>35</v>
      </c>
      <c r="G647" s="2" t="s">
        <v>20</v>
      </c>
      <c r="H647" s="2">
        <v>4.5</v>
      </c>
      <c r="I647" s="2" t="s">
        <v>820</v>
      </c>
      <c r="J647" s="2" t="s">
        <v>821</v>
      </c>
      <c r="K647" s="4" t="s">
        <v>822</v>
      </c>
      <c r="L647" s="2" t="str">
        <f>IFERROR(VLOOKUP(IFERROR(VLOOKUP(C647,'Destination Alias'!$A:$B,2,FALSE()),C647),'Best Months'!$A:$B,2,FALSE()),"Not listed")</f>
        <v>Jan–Mar, Jul–Aug</v>
      </c>
      <c r="S647" t="s">
        <v>822</v>
      </c>
    </row>
    <row r="648" spans="1:19" x14ac:dyDescent="0.3">
      <c r="A648" s="2" t="s">
        <v>819</v>
      </c>
      <c r="B648" s="2" t="s">
        <v>49</v>
      </c>
      <c r="C648" s="2" t="s">
        <v>108</v>
      </c>
      <c r="D648" s="3">
        <v>0.41666666666666702</v>
      </c>
      <c r="E648" s="3">
        <v>0.45833333333333298</v>
      </c>
      <c r="F648" s="2" t="s">
        <v>35</v>
      </c>
      <c r="G648" s="2" t="s">
        <v>20</v>
      </c>
      <c r="H648" s="2">
        <v>4.5</v>
      </c>
      <c r="I648" s="2" t="s">
        <v>820</v>
      </c>
      <c r="J648" s="2" t="s">
        <v>821</v>
      </c>
      <c r="K648" s="4" t="s">
        <v>822</v>
      </c>
      <c r="L648" s="2" t="str">
        <f>IFERROR(VLOOKUP(IFERROR(VLOOKUP(C648,'Destination Alias'!$A:$B,2,FALSE()),C648),'Best Months'!$A:$B,2,FALSE()),"Not listed")</f>
        <v>Jan–Mar, Jul–Aug</v>
      </c>
      <c r="S648" t="s">
        <v>822</v>
      </c>
    </row>
    <row r="649" spans="1:19" x14ac:dyDescent="0.3">
      <c r="A649" s="2" t="s">
        <v>819</v>
      </c>
      <c r="B649" s="2" t="s">
        <v>49</v>
      </c>
      <c r="C649" s="2" t="s">
        <v>108</v>
      </c>
      <c r="D649" s="3">
        <v>0.45833333333333298</v>
      </c>
      <c r="E649" s="3">
        <v>0.5</v>
      </c>
      <c r="F649" s="2" t="s">
        <v>35</v>
      </c>
      <c r="G649" s="2" t="s">
        <v>220</v>
      </c>
      <c r="H649" s="2">
        <v>4.5</v>
      </c>
      <c r="I649" s="2" t="s">
        <v>820</v>
      </c>
      <c r="J649" s="2" t="s">
        <v>821</v>
      </c>
      <c r="K649" s="4" t="s">
        <v>822</v>
      </c>
      <c r="L649" s="2" t="str">
        <f>IFERROR(VLOOKUP(IFERROR(VLOOKUP(C649,'Destination Alias'!$A:$B,2,FALSE()),C649),'Best Months'!$A:$B,2,FALSE()),"Not listed")</f>
        <v>Jan–Mar, Jul–Aug</v>
      </c>
      <c r="S649" t="s">
        <v>822</v>
      </c>
    </row>
    <row r="650" spans="1:19" x14ac:dyDescent="0.3">
      <c r="A650" s="2" t="s">
        <v>823</v>
      </c>
      <c r="B650" s="2" t="s">
        <v>22</v>
      </c>
      <c r="C650" s="2" t="s">
        <v>27</v>
      </c>
      <c r="D650" s="3">
        <v>0.29166666666666702</v>
      </c>
      <c r="E650" s="3">
        <v>0.375</v>
      </c>
      <c r="F650" s="2" t="s">
        <v>51</v>
      </c>
      <c r="G650" s="2" t="s">
        <v>38</v>
      </c>
      <c r="H650" s="2">
        <v>4.4000000000000004</v>
      </c>
      <c r="I650" s="2" t="s">
        <v>824</v>
      </c>
      <c r="J650" s="2" t="s">
        <v>825</v>
      </c>
      <c r="K650" s="2"/>
      <c r="L650" s="2" t="str">
        <f>IFERROR(VLOOKUP(IFERROR(VLOOKUP(C650,'Destination Alias'!$A:$B,2,FALSE()),C650),'Best Months'!$A:$B,2,FALSE()),"Not listed")</f>
        <v>May–Sep</v>
      </c>
    </row>
    <row r="651" spans="1:19" x14ac:dyDescent="0.3">
      <c r="A651" s="2" t="s">
        <v>826</v>
      </c>
      <c r="B651" s="2" t="s">
        <v>241</v>
      </c>
      <c r="C651" s="2" t="s">
        <v>826</v>
      </c>
      <c r="D651" s="3">
        <v>0.27083333333333298</v>
      </c>
      <c r="E651" s="3">
        <v>0.47916666666666702</v>
      </c>
      <c r="F651" s="2" t="s">
        <v>546</v>
      </c>
      <c r="G651" s="2" t="s">
        <v>28</v>
      </c>
      <c r="H651" s="2">
        <v>3.4</v>
      </c>
      <c r="I651" s="2" t="s">
        <v>827</v>
      </c>
      <c r="J651" s="2" t="s">
        <v>828</v>
      </c>
      <c r="K651" s="2"/>
      <c r="L651" s="2" t="str">
        <f>IFERROR(VLOOKUP(IFERROR(VLOOKUP(C651,'Destination Alias'!$A:$B,2,FALSE()),C651),'Best Months'!$A:$B,2,FALSE()),"Not listed")</f>
        <v>Dec–Mar</v>
      </c>
    </row>
    <row r="652" spans="1:19" x14ac:dyDescent="0.3">
      <c r="A652" s="2" t="s">
        <v>829</v>
      </c>
      <c r="B652" s="2" t="s">
        <v>241</v>
      </c>
      <c r="C652" s="2" t="s">
        <v>826</v>
      </c>
      <c r="D652" s="3">
        <v>0.25</v>
      </c>
      <c r="E652" s="3">
        <v>0.375</v>
      </c>
      <c r="F652" s="2" t="s">
        <v>61</v>
      </c>
      <c r="G652" s="2" t="s">
        <v>28</v>
      </c>
      <c r="H652" s="2">
        <v>3</v>
      </c>
      <c r="I652" s="2" t="s">
        <v>830</v>
      </c>
      <c r="J652" s="2" t="s">
        <v>831</v>
      </c>
      <c r="K652" s="2"/>
      <c r="L652" s="2" t="str">
        <f>IFERROR(VLOOKUP(IFERROR(VLOOKUP(C652,'Destination Alias'!$A:$B,2,FALSE()),C652),'Best Months'!$A:$B,2,FALSE()),"Not listed")</f>
        <v>Dec–Mar</v>
      </c>
    </row>
    <row r="653" spans="1:19" x14ac:dyDescent="0.3">
      <c r="A653" s="2" t="s">
        <v>829</v>
      </c>
      <c r="B653" s="2" t="s">
        <v>241</v>
      </c>
      <c r="C653" s="2" t="s">
        <v>826</v>
      </c>
      <c r="D653" s="3">
        <v>0.35416666666666702</v>
      </c>
      <c r="E653" s="3">
        <v>0.47916666666666702</v>
      </c>
      <c r="F653" s="2" t="s">
        <v>61</v>
      </c>
      <c r="G653" s="2" t="s">
        <v>16</v>
      </c>
      <c r="H653" s="2">
        <v>5</v>
      </c>
      <c r="I653" s="2" t="s">
        <v>830</v>
      </c>
      <c r="J653" s="2" t="s">
        <v>831</v>
      </c>
      <c r="K653" s="2"/>
      <c r="L653" s="2" t="str">
        <f>IFERROR(VLOOKUP(IFERROR(VLOOKUP(C653,'Destination Alias'!$A:$B,2,FALSE()),C653),'Best Months'!$A:$B,2,FALSE()),"Not listed")</f>
        <v>Dec–Mar</v>
      </c>
    </row>
    <row r="654" spans="1:19" x14ac:dyDescent="0.3">
      <c r="A654" s="2" t="s">
        <v>829</v>
      </c>
      <c r="B654" s="2" t="s">
        <v>241</v>
      </c>
      <c r="C654" s="2" t="s">
        <v>826</v>
      </c>
      <c r="D654" s="3">
        <v>0.375</v>
      </c>
      <c r="E654" s="3">
        <v>0.5</v>
      </c>
      <c r="F654" s="2" t="s">
        <v>61</v>
      </c>
      <c r="G654" s="2" t="s">
        <v>20</v>
      </c>
      <c r="H654" s="2">
        <v>5</v>
      </c>
      <c r="I654" s="2" t="s">
        <v>830</v>
      </c>
      <c r="J654" s="2" t="s">
        <v>831</v>
      </c>
      <c r="K654" s="2"/>
      <c r="L654" s="2" t="str">
        <f>IFERROR(VLOOKUP(IFERROR(VLOOKUP(C654,'Destination Alias'!$A:$B,2,FALSE()),C654),'Best Months'!$A:$B,2,FALSE()),"Not listed")</f>
        <v>Dec–Mar</v>
      </c>
    </row>
    <row r="655" spans="1:19" x14ac:dyDescent="0.3">
      <c r="A655" s="2" t="s">
        <v>829</v>
      </c>
      <c r="B655" s="2" t="s">
        <v>241</v>
      </c>
      <c r="C655" s="2" t="s">
        <v>826</v>
      </c>
      <c r="D655" s="3">
        <v>0.5</v>
      </c>
      <c r="E655" s="3">
        <v>0.625</v>
      </c>
      <c r="F655" s="2" t="s">
        <v>61</v>
      </c>
      <c r="G655" s="2" t="s">
        <v>220</v>
      </c>
      <c r="H655" s="2">
        <v>4</v>
      </c>
      <c r="I655" s="2" t="s">
        <v>830</v>
      </c>
      <c r="J655" s="2" t="s">
        <v>831</v>
      </c>
      <c r="K655" s="2"/>
      <c r="L655" s="2" t="str">
        <f>IFERROR(VLOOKUP(IFERROR(VLOOKUP(C655,'Destination Alias'!$A:$B,2,FALSE()),C655),'Best Months'!$A:$B,2,FALSE()),"Not listed")</f>
        <v>Dec–Mar</v>
      </c>
    </row>
    <row r="656" spans="1:19" x14ac:dyDescent="0.3">
      <c r="A656" s="2" t="s">
        <v>829</v>
      </c>
      <c r="B656" s="2" t="s">
        <v>241</v>
      </c>
      <c r="C656" s="2" t="s">
        <v>826</v>
      </c>
      <c r="D656" s="3">
        <v>0.54166666666666696</v>
      </c>
      <c r="E656" s="3">
        <v>0.66666666666666696</v>
      </c>
      <c r="F656" s="2" t="s">
        <v>61</v>
      </c>
      <c r="G656" s="2" t="s">
        <v>199</v>
      </c>
      <c r="H656" s="2">
        <v>3</v>
      </c>
      <c r="I656" s="2" t="s">
        <v>830</v>
      </c>
      <c r="J656" s="2" t="s">
        <v>831</v>
      </c>
      <c r="K656" s="2"/>
      <c r="L656" s="2" t="str">
        <f>IFERROR(VLOOKUP(IFERROR(VLOOKUP(C656,'Destination Alias'!$A:$B,2,FALSE()),C656),'Best Months'!$A:$B,2,FALSE()),"Not listed")</f>
        <v>Dec–Mar</v>
      </c>
    </row>
    <row r="657" spans="1:19" x14ac:dyDescent="0.3">
      <c r="A657" s="2" t="s">
        <v>829</v>
      </c>
      <c r="B657" s="2" t="s">
        <v>241</v>
      </c>
      <c r="C657" s="2" t="s">
        <v>826</v>
      </c>
      <c r="D657" s="3">
        <v>0.625</v>
      </c>
      <c r="E657" s="3">
        <v>0.75</v>
      </c>
      <c r="F657" s="2" t="s">
        <v>61</v>
      </c>
      <c r="G657" s="2" t="s">
        <v>73</v>
      </c>
      <c r="H657" s="2">
        <v>4</v>
      </c>
      <c r="I657" s="2" t="s">
        <v>830</v>
      </c>
      <c r="J657" s="2" t="s">
        <v>831</v>
      </c>
      <c r="K657" s="2"/>
      <c r="L657" s="2" t="str">
        <f>IFERROR(VLOOKUP(IFERROR(VLOOKUP(C657,'Destination Alias'!$A:$B,2,FALSE()),C657),'Best Months'!$A:$B,2,FALSE()),"Not listed")</f>
        <v>Dec–Mar</v>
      </c>
    </row>
    <row r="658" spans="1:19" x14ac:dyDescent="0.3">
      <c r="A658" s="2" t="s">
        <v>829</v>
      </c>
      <c r="B658" s="2" t="s">
        <v>241</v>
      </c>
      <c r="C658" s="2" t="s">
        <v>826</v>
      </c>
      <c r="D658" s="3">
        <v>0.6875</v>
      </c>
      <c r="E658" s="3">
        <v>0.8125</v>
      </c>
      <c r="F658" s="2" t="s">
        <v>61</v>
      </c>
      <c r="G658" s="2" t="s">
        <v>73</v>
      </c>
      <c r="H658" s="2">
        <v>2</v>
      </c>
      <c r="I658" s="2" t="s">
        <v>830</v>
      </c>
      <c r="J658" s="2" t="s">
        <v>831</v>
      </c>
      <c r="K658" s="2"/>
      <c r="L658" s="2" t="str">
        <f>IFERROR(VLOOKUP(IFERROR(VLOOKUP(C658,'Destination Alias'!$A:$B,2,FALSE()),C658),'Best Months'!$A:$B,2,FALSE()),"Not listed")</f>
        <v>Dec–Mar</v>
      </c>
    </row>
    <row r="659" spans="1:19" x14ac:dyDescent="0.3">
      <c r="A659" s="2" t="s">
        <v>829</v>
      </c>
      <c r="B659" s="2" t="s">
        <v>241</v>
      </c>
      <c r="C659" s="2" t="s">
        <v>826</v>
      </c>
      <c r="D659" s="3">
        <v>0.72916666666666696</v>
      </c>
      <c r="E659" s="3">
        <v>0.85416666666666696</v>
      </c>
      <c r="F659" s="2" t="s">
        <v>61</v>
      </c>
      <c r="G659" s="2" t="s">
        <v>52</v>
      </c>
      <c r="H659" s="2">
        <v>3</v>
      </c>
      <c r="I659" s="2" t="s">
        <v>830</v>
      </c>
      <c r="J659" s="2" t="s">
        <v>831</v>
      </c>
      <c r="K659" s="2"/>
      <c r="L659" s="2" t="str">
        <f>IFERROR(VLOOKUP(IFERROR(VLOOKUP(C659,'Destination Alias'!$A:$B,2,FALSE()),C659),'Best Months'!$A:$B,2,FALSE()),"Not listed")</f>
        <v>Dec–Mar</v>
      </c>
    </row>
    <row r="660" spans="1:19" x14ac:dyDescent="0.3">
      <c r="A660" s="2" t="s">
        <v>829</v>
      </c>
      <c r="B660" s="2" t="s">
        <v>241</v>
      </c>
      <c r="C660" s="2" t="s">
        <v>826</v>
      </c>
      <c r="D660" s="3">
        <v>0.75</v>
      </c>
      <c r="E660" s="3">
        <v>0.875</v>
      </c>
      <c r="F660" s="2" t="s">
        <v>61</v>
      </c>
      <c r="G660" s="2" t="s">
        <v>102</v>
      </c>
      <c r="H660" s="2">
        <v>5</v>
      </c>
      <c r="I660" s="2" t="s">
        <v>830</v>
      </c>
      <c r="J660" s="2" t="s">
        <v>831</v>
      </c>
      <c r="K660" s="2"/>
      <c r="L660" s="2" t="str">
        <f>IFERROR(VLOOKUP(IFERROR(VLOOKUP(C660,'Destination Alias'!$A:$B,2,FALSE()),C660),'Best Months'!$A:$B,2,FALSE()),"Not listed")</f>
        <v>Dec–Mar</v>
      </c>
    </row>
    <row r="661" spans="1:19" x14ac:dyDescent="0.3">
      <c r="A661" s="2" t="s">
        <v>829</v>
      </c>
      <c r="B661" s="2" t="s">
        <v>241</v>
      </c>
      <c r="C661" s="2" t="s">
        <v>826</v>
      </c>
      <c r="D661" s="3">
        <v>0.95833333333333304</v>
      </c>
      <c r="E661" s="3">
        <v>8.3333333333333301E-2</v>
      </c>
      <c r="F661" s="2" t="s">
        <v>61</v>
      </c>
      <c r="G661" s="2" t="s">
        <v>380</v>
      </c>
      <c r="H661" s="2">
        <v>3</v>
      </c>
      <c r="I661" s="2" t="s">
        <v>830</v>
      </c>
      <c r="J661" s="2" t="s">
        <v>831</v>
      </c>
      <c r="K661" s="2"/>
      <c r="L661" s="2" t="str">
        <f>IFERROR(VLOOKUP(IFERROR(VLOOKUP(C661,'Destination Alias'!$A:$B,2,FALSE()),C661),'Best Months'!$A:$B,2,FALSE()),"Not listed")</f>
        <v>Dec–Mar</v>
      </c>
    </row>
    <row r="662" spans="1:19" x14ac:dyDescent="0.3">
      <c r="A662" s="2" t="s">
        <v>829</v>
      </c>
      <c r="B662" s="2" t="s">
        <v>241</v>
      </c>
      <c r="C662" s="2" t="s">
        <v>826</v>
      </c>
      <c r="D662" s="3">
        <v>0.66666666666666696</v>
      </c>
      <c r="E662" s="3">
        <v>0.79166666666666696</v>
      </c>
      <c r="F662" s="2" t="s">
        <v>61</v>
      </c>
      <c r="G662" s="2" t="s">
        <v>73</v>
      </c>
      <c r="H662" s="2">
        <v>3.4</v>
      </c>
      <c r="I662" s="2" t="s">
        <v>830</v>
      </c>
      <c r="J662" s="2" t="s">
        <v>831</v>
      </c>
      <c r="K662" s="2"/>
      <c r="L662" s="2" t="str">
        <f>IFERROR(VLOOKUP(IFERROR(VLOOKUP(C662,'Destination Alias'!$A:$B,2,FALSE()),C662),'Best Months'!$A:$B,2,FALSE()),"Not listed")</f>
        <v>Dec–Mar</v>
      </c>
    </row>
    <row r="663" spans="1:19" x14ac:dyDescent="0.3">
      <c r="A663" s="2" t="s">
        <v>832</v>
      </c>
      <c r="B663" s="2" t="s">
        <v>22</v>
      </c>
      <c r="C663" s="2" t="s">
        <v>530</v>
      </c>
      <c r="D663" s="3">
        <v>0.27083333333333298</v>
      </c>
      <c r="E663" s="3">
        <v>0.3125</v>
      </c>
      <c r="F663" s="2" t="s">
        <v>35</v>
      </c>
      <c r="G663" s="2" t="s">
        <v>28</v>
      </c>
      <c r="H663" s="2">
        <v>4.5999999999999996</v>
      </c>
      <c r="I663" s="2" t="s">
        <v>833</v>
      </c>
      <c r="J663" s="2" t="s">
        <v>834</v>
      </c>
      <c r="K663" s="2"/>
      <c r="L663" s="2" t="str">
        <f>IFERROR(VLOOKUP(IFERROR(VLOOKUP(C663,'Destination Alias'!$A:$B,2,FALSE()),C663),'Best Months'!$A:$B,2,FALSE()),"Not listed")</f>
        <v>Jan–Mar, Jul–Sep</v>
      </c>
    </row>
    <row r="664" spans="1:19" x14ac:dyDescent="0.3">
      <c r="A664" s="2" t="s">
        <v>832</v>
      </c>
      <c r="B664" s="2" t="s">
        <v>22</v>
      </c>
      <c r="C664" s="2" t="s">
        <v>530</v>
      </c>
      <c r="D664" s="3">
        <v>0.3125</v>
      </c>
      <c r="E664" s="3">
        <v>0.35416666666666702</v>
      </c>
      <c r="F664" s="2" t="s">
        <v>35</v>
      </c>
      <c r="G664" s="2" t="s">
        <v>38</v>
      </c>
      <c r="H664" s="2">
        <v>4.5999999999999996</v>
      </c>
      <c r="I664" s="2" t="s">
        <v>833</v>
      </c>
      <c r="J664" s="2" t="s">
        <v>834</v>
      </c>
      <c r="K664" s="2"/>
      <c r="L664" s="2" t="str">
        <f>IFERROR(VLOOKUP(IFERROR(VLOOKUP(C664,'Destination Alias'!$A:$B,2,FALSE()),C664),'Best Months'!$A:$B,2,FALSE()),"Not listed")</f>
        <v>Jan–Mar, Jul–Sep</v>
      </c>
    </row>
    <row r="665" spans="1:19" x14ac:dyDescent="0.3">
      <c r="A665" s="2" t="s">
        <v>832</v>
      </c>
      <c r="B665" s="2" t="s">
        <v>22</v>
      </c>
      <c r="C665" s="2" t="s">
        <v>530</v>
      </c>
      <c r="D665" s="3">
        <v>0.35416666666666702</v>
      </c>
      <c r="E665" s="3">
        <v>0.39583333333333298</v>
      </c>
      <c r="F665" s="2" t="s">
        <v>35</v>
      </c>
      <c r="G665" s="2" t="s">
        <v>16</v>
      </c>
      <c r="H665" s="2">
        <v>4.5999999999999996</v>
      </c>
      <c r="I665" s="2" t="s">
        <v>833</v>
      </c>
      <c r="J665" s="2" t="s">
        <v>834</v>
      </c>
      <c r="K665" s="2"/>
      <c r="L665" s="2" t="str">
        <f>IFERROR(VLOOKUP(IFERROR(VLOOKUP(C665,'Destination Alias'!$A:$B,2,FALSE()),C665),'Best Months'!$A:$B,2,FALSE()),"Not listed")</f>
        <v>Jan–Mar, Jul–Sep</v>
      </c>
    </row>
    <row r="666" spans="1:19" x14ac:dyDescent="0.3">
      <c r="A666" s="2" t="s">
        <v>835</v>
      </c>
      <c r="B666" s="2" t="s">
        <v>13</v>
      </c>
      <c r="C666" s="2" t="s">
        <v>250</v>
      </c>
      <c r="D666" s="3">
        <v>0.29166666666666702</v>
      </c>
      <c r="E666" s="3">
        <v>0.32291666666666702</v>
      </c>
      <c r="F666" s="2" t="s">
        <v>90</v>
      </c>
      <c r="G666" s="2" t="s">
        <v>38</v>
      </c>
      <c r="H666" s="2">
        <v>4</v>
      </c>
      <c r="I666" s="2" t="s">
        <v>836</v>
      </c>
      <c r="J666" s="2" t="s">
        <v>837</v>
      </c>
      <c r="K666" s="2"/>
      <c r="L666" s="2" t="str">
        <f>IFERROR(VLOOKUP(IFERROR(VLOOKUP(C666,'Destination Alias'!$A:$B,2,FALSE()),C666),'Best Months'!$A:$B,2,FALSE()),"Not listed")</f>
        <v>Feb–Sep</v>
      </c>
    </row>
    <row r="667" spans="1:19" x14ac:dyDescent="0.3">
      <c r="A667" s="2" t="s">
        <v>835</v>
      </c>
      <c r="B667" s="2" t="s">
        <v>13</v>
      </c>
      <c r="C667" s="2" t="s">
        <v>250</v>
      </c>
      <c r="D667" s="3">
        <v>0.32291666666666702</v>
      </c>
      <c r="E667" s="3">
        <v>0.35416666666666702</v>
      </c>
      <c r="F667" s="2" t="s">
        <v>90</v>
      </c>
      <c r="G667" s="2" t="s">
        <v>38</v>
      </c>
      <c r="H667" s="2">
        <v>4</v>
      </c>
      <c r="I667" s="2" t="s">
        <v>836</v>
      </c>
      <c r="J667" s="2" t="s">
        <v>837</v>
      </c>
      <c r="K667" s="2"/>
      <c r="L667" s="2" t="str">
        <f>IFERROR(VLOOKUP(IFERROR(VLOOKUP(C667,'Destination Alias'!$A:$B,2,FALSE()),C667),'Best Months'!$A:$B,2,FALSE()),"Not listed")</f>
        <v>Feb–Sep</v>
      </c>
    </row>
    <row r="668" spans="1:19" x14ac:dyDescent="0.3">
      <c r="A668" s="2" t="s">
        <v>835</v>
      </c>
      <c r="B668" s="2" t="s">
        <v>13</v>
      </c>
      <c r="C668" s="2" t="s">
        <v>250</v>
      </c>
      <c r="D668" s="3">
        <v>0.35416666666666702</v>
      </c>
      <c r="E668" s="3">
        <v>0.38541666666666702</v>
      </c>
      <c r="F668" s="2" t="s">
        <v>90</v>
      </c>
      <c r="G668" s="2" t="s">
        <v>16</v>
      </c>
      <c r="H668" s="2">
        <v>4</v>
      </c>
      <c r="I668" s="2" t="s">
        <v>836</v>
      </c>
      <c r="J668" s="2" t="s">
        <v>837</v>
      </c>
      <c r="K668" s="2"/>
      <c r="L668" s="2" t="str">
        <f>IFERROR(VLOOKUP(IFERROR(VLOOKUP(C668,'Destination Alias'!$A:$B,2,FALSE()),C668),'Best Months'!$A:$B,2,FALSE()),"Not listed")</f>
        <v>Feb–Sep</v>
      </c>
    </row>
    <row r="669" spans="1:19" x14ac:dyDescent="0.3">
      <c r="A669" s="2" t="s">
        <v>835</v>
      </c>
      <c r="B669" s="2" t="s">
        <v>13</v>
      </c>
      <c r="C669" s="2" t="s">
        <v>250</v>
      </c>
      <c r="D669" s="3">
        <v>0.38541666666666702</v>
      </c>
      <c r="E669" s="3">
        <v>0.41666666666666702</v>
      </c>
      <c r="F669" s="2" t="s">
        <v>90</v>
      </c>
      <c r="G669" s="2" t="s">
        <v>20</v>
      </c>
      <c r="H669" s="2">
        <v>4</v>
      </c>
      <c r="I669" s="2" t="s">
        <v>836</v>
      </c>
      <c r="J669" s="2" t="s">
        <v>837</v>
      </c>
      <c r="K669" s="2"/>
      <c r="L669" s="2" t="str">
        <f>IFERROR(VLOOKUP(IFERROR(VLOOKUP(C669,'Destination Alias'!$A:$B,2,FALSE()),C669),'Best Months'!$A:$B,2,FALSE()),"Not listed")</f>
        <v>Feb–Sep</v>
      </c>
    </row>
    <row r="670" spans="1:19" x14ac:dyDescent="0.3">
      <c r="A670" s="2" t="s">
        <v>838</v>
      </c>
      <c r="B670" s="2" t="s">
        <v>81</v>
      </c>
      <c r="C670" s="2" t="s">
        <v>65</v>
      </c>
      <c r="D670" s="3">
        <v>0.29166666666666702</v>
      </c>
      <c r="E670" s="3">
        <v>0.35416666666666702</v>
      </c>
      <c r="F670" s="2" t="s">
        <v>15</v>
      </c>
      <c r="G670" s="2" t="s">
        <v>38</v>
      </c>
      <c r="H670" s="2">
        <v>4.4000000000000004</v>
      </c>
      <c r="I670" s="2" t="s">
        <v>839</v>
      </c>
      <c r="J670" s="2" t="s">
        <v>840</v>
      </c>
      <c r="K670" s="4" t="s">
        <v>841</v>
      </c>
      <c r="L670" s="2" t="str">
        <f>IFERROR(VLOOKUP(IFERROR(VLOOKUP(C670,'Destination Alias'!$A:$B,2,FALSE()),C670),'Best Months'!$A:$B,2,FALSE()),"Not listed")</f>
        <v>Dec–Mar</v>
      </c>
      <c r="S670" t="s">
        <v>841</v>
      </c>
    </row>
    <row r="671" spans="1:19" x14ac:dyDescent="0.3">
      <c r="A671" s="2" t="s">
        <v>838</v>
      </c>
      <c r="B671" s="2" t="s">
        <v>81</v>
      </c>
      <c r="C671" s="2" t="s">
        <v>65</v>
      </c>
      <c r="D671" s="3">
        <v>0.35416666666666702</v>
      </c>
      <c r="E671" s="3">
        <v>0.41666666666666702</v>
      </c>
      <c r="F671" s="2" t="s">
        <v>15</v>
      </c>
      <c r="G671" s="2" t="s">
        <v>16</v>
      </c>
      <c r="H671" s="2">
        <v>4.4000000000000004</v>
      </c>
      <c r="I671" s="2" t="s">
        <v>839</v>
      </c>
      <c r="J671" s="2" t="s">
        <v>840</v>
      </c>
      <c r="K671" s="4" t="s">
        <v>841</v>
      </c>
      <c r="L671" s="2" t="str">
        <f>IFERROR(VLOOKUP(IFERROR(VLOOKUP(C671,'Destination Alias'!$A:$B,2,FALSE()),C671),'Best Months'!$A:$B,2,FALSE()),"Not listed")</f>
        <v>Dec–Mar</v>
      </c>
      <c r="S671" t="s">
        <v>841</v>
      </c>
    </row>
    <row r="672" spans="1:19" x14ac:dyDescent="0.3">
      <c r="A672" s="2" t="s">
        <v>842</v>
      </c>
      <c r="B672" s="2" t="s">
        <v>22</v>
      </c>
      <c r="C672" s="2" t="s">
        <v>27</v>
      </c>
      <c r="D672" s="3">
        <v>0.25</v>
      </c>
      <c r="E672" s="3">
        <v>0.41666666666666702</v>
      </c>
      <c r="F672" s="2" t="s">
        <v>129</v>
      </c>
      <c r="G672" s="2" t="s">
        <v>28</v>
      </c>
      <c r="H672" s="2">
        <v>4.4000000000000004</v>
      </c>
      <c r="I672" s="2" t="s">
        <v>843</v>
      </c>
      <c r="J672" s="2" t="s">
        <v>844</v>
      </c>
      <c r="K672" s="2"/>
      <c r="L672" s="2" t="str">
        <f>IFERROR(VLOOKUP(IFERROR(VLOOKUP(C672,'Destination Alias'!$A:$B,2,FALSE()),C672),'Best Months'!$A:$B,2,FALSE()),"Not listed")</f>
        <v>May–Sep</v>
      </c>
    </row>
    <row r="673" spans="1:19" x14ac:dyDescent="0.3">
      <c r="A673" s="2" t="s">
        <v>845</v>
      </c>
      <c r="B673" s="2" t="s">
        <v>241</v>
      </c>
      <c r="C673" s="2" t="s">
        <v>27</v>
      </c>
      <c r="D673" s="3">
        <v>0.25</v>
      </c>
      <c r="E673" s="3">
        <v>0.375</v>
      </c>
      <c r="F673" s="2" t="s">
        <v>61</v>
      </c>
      <c r="G673" s="2" t="s">
        <v>28</v>
      </c>
      <c r="H673" s="2">
        <v>4.0999999999999996</v>
      </c>
      <c r="I673" s="2" t="s">
        <v>846</v>
      </c>
      <c r="J673" s="2" t="s">
        <v>847</v>
      </c>
      <c r="K673" s="2"/>
      <c r="L673" s="2" t="str">
        <f>IFERROR(VLOOKUP(IFERROR(VLOOKUP(C673,'Destination Alias'!$A:$B,2,FALSE()),C673),'Best Months'!$A:$B,2,FALSE()),"Not listed")</f>
        <v>May–Sep</v>
      </c>
    </row>
    <row r="674" spans="1:19" x14ac:dyDescent="0.3">
      <c r="A674" s="2" t="s">
        <v>848</v>
      </c>
      <c r="B674" s="2" t="s">
        <v>22</v>
      </c>
      <c r="C674" s="2" t="s">
        <v>27</v>
      </c>
      <c r="D674" s="3">
        <v>0.25</v>
      </c>
      <c r="E674" s="3">
        <v>0.29166666666666702</v>
      </c>
      <c r="F674" s="2" t="s">
        <v>35</v>
      </c>
      <c r="G674" s="2" t="s">
        <v>28</v>
      </c>
      <c r="H674" s="2">
        <v>4.5999999999999996</v>
      </c>
      <c r="I674" s="2" t="s">
        <v>849</v>
      </c>
      <c r="J674" s="2" t="s">
        <v>850</v>
      </c>
      <c r="K674" s="2"/>
      <c r="L674" s="2" t="str">
        <f>IFERROR(VLOOKUP(IFERROR(VLOOKUP(C674,'Destination Alias'!$A:$B,2,FALSE()),C674),'Best Months'!$A:$B,2,FALSE()),"Not listed")</f>
        <v>May–Sep</v>
      </c>
    </row>
    <row r="675" spans="1:19" x14ac:dyDescent="0.3">
      <c r="A675" s="2" t="s">
        <v>848</v>
      </c>
      <c r="B675" s="2" t="s">
        <v>22</v>
      </c>
      <c r="C675" s="2" t="s">
        <v>27</v>
      </c>
      <c r="D675" s="3">
        <v>0.29166666666666702</v>
      </c>
      <c r="E675" s="3">
        <v>0.33333333333333298</v>
      </c>
      <c r="F675" s="2" t="s">
        <v>35</v>
      </c>
      <c r="G675" s="2" t="s">
        <v>38</v>
      </c>
      <c r="H675" s="2">
        <v>4.5999999999999996</v>
      </c>
      <c r="I675" s="2" t="s">
        <v>849</v>
      </c>
      <c r="J675" s="2" t="s">
        <v>850</v>
      </c>
      <c r="K675" s="2"/>
      <c r="L675" s="2" t="str">
        <f>IFERROR(VLOOKUP(IFERROR(VLOOKUP(C675,'Destination Alias'!$A:$B,2,FALSE()),C675),'Best Months'!$A:$B,2,FALSE()),"Not listed")</f>
        <v>May–Sep</v>
      </c>
    </row>
    <row r="676" spans="1:19" x14ac:dyDescent="0.3">
      <c r="A676" s="2" t="s">
        <v>848</v>
      </c>
      <c r="B676" s="2" t="s">
        <v>22</v>
      </c>
      <c r="C676" s="2" t="s">
        <v>27</v>
      </c>
      <c r="D676" s="3">
        <v>0.33333333333333298</v>
      </c>
      <c r="E676" s="3">
        <v>0.375</v>
      </c>
      <c r="F676" s="2" t="s">
        <v>35</v>
      </c>
      <c r="G676" s="2" t="s">
        <v>16</v>
      </c>
      <c r="H676" s="2">
        <v>4.5999999999999996</v>
      </c>
      <c r="I676" s="2" t="s">
        <v>849</v>
      </c>
      <c r="J676" s="2" t="s">
        <v>850</v>
      </c>
      <c r="K676" s="2"/>
      <c r="L676" s="2" t="str">
        <f>IFERROR(VLOOKUP(IFERROR(VLOOKUP(C676,'Destination Alias'!$A:$B,2,FALSE()),C676),'Best Months'!$A:$B,2,FALSE()),"Not listed")</f>
        <v>May–Sep</v>
      </c>
    </row>
    <row r="677" spans="1:19" x14ac:dyDescent="0.3">
      <c r="A677" s="2" t="s">
        <v>851</v>
      </c>
      <c r="B677" s="2" t="s">
        <v>22</v>
      </c>
      <c r="C677" s="2" t="s">
        <v>65</v>
      </c>
      <c r="D677" s="3">
        <v>0.29166666666666702</v>
      </c>
      <c r="E677" s="3">
        <v>0.32291666666666702</v>
      </c>
      <c r="F677" s="2" t="s">
        <v>90</v>
      </c>
      <c r="G677" s="2" t="s">
        <v>38</v>
      </c>
      <c r="H677" s="2">
        <v>4.5999999999999996</v>
      </c>
      <c r="I677" s="2" t="s">
        <v>852</v>
      </c>
      <c r="J677" s="2" t="s">
        <v>853</v>
      </c>
      <c r="K677" s="4" t="s">
        <v>854</v>
      </c>
      <c r="L677" s="2" t="str">
        <f>IFERROR(VLOOKUP(IFERROR(VLOOKUP(C677,'Destination Alias'!$A:$B,2,FALSE()),C677),'Best Months'!$A:$B,2,FALSE()),"Not listed")</f>
        <v>Dec–Mar</v>
      </c>
      <c r="S677" t="s">
        <v>854</v>
      </c>
    </row>
    <row r="678" spans="1:19" x14ac:dyDescent="0.3">
      <c r="A678" s="2" t="s">
        <v>851</v>
      </c>
      <c r="B678" s="2" t="s">
        <v>22</v>
      </c>
      <c r="C678" s="2" t="s">
        <v>65</v>
      </c>
      <c r="D678" s="3">
        <v>0.32291666666666702</v>
      </c>
      <c r="E678" s="3">
        <v>0.35416666666666702</v>
      </c>
      <c r="F678" s="2" t="s">
        <v>90</v>
      </c>
      <c r="G678" s="2" t="s">
        <v>38</v>
      </c>
      <c r="H678" s="2">
        <v>4.5999999999999996</v>
      </c>
      <c r="I678" s="2" t="s">
        <v>852</v>
      </c>
      <c r="J678" s="2" t="s">
        <v>853</v>
      </c>
      <c r="K678" s="4" t="s">
        <v>854</v>
      </c>
      <c r="L678" s="2" t="str">
        <f>IFERROR(VLOOKUP(IFERROR(VLOOKUP(C678,'Destination Alias'!$A:$B,2,FALSE()),C678),'Best Months'!$A:$B,2,FALSE()),"Not listed")</f>
        <v>Dec–Mar</v>
      </c>
      <c r="S678" t="s">
        <v>854</v>
      </c>
    </row>
    <row r="679" spans="1:19" x14ac:dyDescent="0.3">
      <c r="A679" s="2" t="s">
        <v>851</v>
      </c>
      <c r="B679" s="2" t="s">
        <v>22</v>
      </c>
      <c r="C679" s="2" t="s">
        <v>65</v>
      </c>
      <c r="D679" s="3">
        <v>0.35416666666666702</v>
      </c>
      <c r="E679" s="3">
        <v>0.38541666666666702</v>
      </c>
      <c r="F679" s="2" t="s">
        <v>90</v>
      </c>
      <c r="G679" s="2" t="s">
        <v>16</v>
      </c>
      <c r="H679" s="2">
        <v>4.5999999999999996</v>
      </c>
      <c r="I679" s="2" t="s">
        <v>852</v>
      </c>
      <c r="J679" s="2" t="s">
        <v>853</v>
      </c>
      <c r="K679" s="4" t="s">
        <v>854</v>
      </c>
      <c r="L679" s="2" t="str">
        <f>IFERROR(VLOOKUP(IFERROR(VLOOKUP(C679,'Destination Alias'!$A:$B,2,FALSE()),C679),'Best Months'!$A:$B,2,FALSE()),"Not listed")</f>
        <v>Dec–Mar</v>
      </c>
      <c r="S679" t="s">
        <v>854</v>
      </c>
    </row>
    <row r="680" spans="1:19" x14ac:dyDescent="0.3">
      <c r="A680" s="2" t="s">
        <v>851</v>
      </c>
      <c r="B680" s="2" t="s">
        <v>22</v>
      </c>
      <c r="C680" s="2" t="s">
        <v>65</v>
      </c>
      <c r="D680" s="3">
        <v>0.38541666666666702</v>
      </c>
      <c r="E680" s="3">
        <v>0.41666666666666702</v>
      </c>
      <c r="F680" s="2" t="s">
        <v>90</v>
      </c>
      <c r="G680" s="2" t="s">
        <v>20</v>
      </c>
      <c r="H680" s="2">
        <v>4.5999999999999996</v>
      </c>
      <c r="I680" s="2" t="s">
        <v>852</v>
      </c>
      <c r="J680" s="2" t="s">
        <v>853</v>
      </c>
      <c r="K680" s="4" t="s">
        <v>854</v>
      </c>
      <c r="L680" s="2" t="str">
        <f>IFERROR(VLOOKUP(IFERROR(VLOOKUP(C680,'Destination Alias'!$A:$B,2,FALSE()),C680),'Best Months'!$A:$B,2,FALSE()),"Not listed")</f>
        <v>Dec–Mar</v>
      </c>
      <c r="S680" t="s">
        <v>854</v>
      </c>
    </row>
    <row r="681" spans="1:19" x14ac:dyDescent="0.3">
      <c r="A681" s="2" t="s">
        <v>855</v>
      </c>
      <c r="B681" s="2" t="s">
        <v>22</v>
      </c>
      <c r="C681" s="2" t="s">
        <v>50</v>
      </c>
      <c r="D681" s="3">
        <v>0.6875</v>
      </c>
      <c r="E681" s="3">
        <v>0.70138888888888895</v>
      </c>
      <c r="F681" s="2" t="s">
        <v>396</v>
      </c>
      <c r="G681" s="2" t="s">
        <v>73</v>
      </c>
      <c r="H681" s="2">
        <v>4.5999999999999996</v>
      </c>
      <c r="I681" s="2" t="s">
        <v>856</v>
      </c>
      <c r="J681" s="2" t="s">
        <v>857</v>
      </c>
      <c r="K681" s="4" t="s">
        <v>858</v>
      </c>
      <c r="L681" s="2" t="str">
        <f>IFERROR(VLOOKUP(IFERROR(VLOOKUP(C681,'Destination Alias'!$A:$B,2,FALSE()),C681),'Best Months'!$A:$B,2,FALSE()),"Not listed")</f>
        <v>Dec–Mar</v>
      </c>
      <c r="S681" t="s">
        <v>858</v>
      </c>
    </row>
    <row r="682" spans="1:19" x14ac:dyDescent="0.3">
      <c r="A682" s="2" t="s">
        <v>855</v>
      </c>
      <c r="B682" s="2" t="s">
        <v>22</v>
      </c>
      <c r="C682" s="2" t="s">
        <v>50</v>
      </c>
      <c r="D682" s="3">
        <v>0.70138888888888895</v>
      </c>
      <c r="E682" s="3">
        <v>0.71527777777777801</v>
      </c>
      <c r="F682" s="2" t="s">
        <v>396</v>
      </c>
      <c r="G682" s="2" t="s">
        <v>73</v>
      </c>
      <c r="H682" s="2">
        <v>4.5999999999999996</v>
      </c>
      <c r="I682" s="2" t="s">
        <v>856</v>
      </c>
      <c r="J682" s="2" t="s">
        <v>857</v>
      </c>
      <c r="K682" s="4" t="s">
        <v>858</v>
      </c>
      <c r="L682" s="2" t="str">
        <f>IFERROR(VLOOKUP(IFERROR(VLOOKUP(C682,'Destination Alias'!$A:$B,2,FALSE()),C682),'Best Months'!$A:$B,2,FALSE()),"Not listed")</f>
        <v>Dec–Mar</v>
      </c>
      <c r="S682" t="s">
        <v>858</v>
      </c>
    </row>
    <row r="683" spans="1:19" x14ac:dyDescent="0.3">
      <c r="A683" s="2" t="s">
        <v>855</v>
      </c>
      <c r="B683" s="2" t="s">
        <v>22</v>
      </c>
      <c r="C683" s="2" t="s">
        <v>50</v>
      </c>
      <c r="D683" s="3">
        <v>0.71527777777777801</v>
      </c>
      <c r="E683" s="3">
        <v>0.72916666666666696</v>
      </c>
      <c r="F683" s="2" t="s">
        <v>396</v>
      </c>
      <c r="G683" s="2" t="s">
        <v>52</v>
      </c>
      <c r="H683" s="2">
        <v>4.5999999999999996</v>
      </c>
      <c r="I683" s="2" t="s">
        <v>856</v>
      </c>
      <c r="J683" s="2" t="s">
        <v>857</v>
      </c>
      <c r="K683" s="4" t="s">
        <v>858</v>
      </c>
      <c r="L683" s="2" t="str">
        <f>IFERROR(VLOOKUP(IFERROR(VLOOKUP(C683,'Destination Alias'!$A:$B,2,FALSE()),C683),'Best Months'!$A:$B,2,FALSE()),"Not listed")</f>
        <v>Dec–Mar</v>
      </c>
      <c r="S683" t="s">
        <v>858</v>
      </c>
    </row>
    <row r="684" spans="1:19" x14ac:dyDescent="0.3">
      <c r="A684" s="2" t="s">
        <v>855</v>
      </c>
      <c r="B684" s="2" t="s">
        <v>22</v>
      </c>
      <c r="C684" s="2" t="s">
        <v>50</v>
      </c>
      <c r="D684" s="3">
        <v>0.72916666666666696</v>
      </c>
      <c r="E684" s="3">
        <v>0.74305555555555602</v>
      </c>
      <c r="F684" s="2" t="s">
        <v>396</v>
      </c>
      <c r="G684" s="2" t="s">
        <v>52</v>
      </c>
      <c r="H684" s="2">
        <v>4.5999999999999996</v>
      </c>
      <c r="I684" s="2" t="s">
        <v>856</v>
      </c>
      <c r="J684" s="2" t="s">
        <v>857</v>
      </c>
      <c r="K684" s="4" t="s">
        <v>858</v>
      </c>
      <c r="L684" s="2" t="str">
        <f>IFERROR(VLOOKUP(IFERROR(VLOOKUP(C684,'Destination Alias'!$A:$B,2,FALSE()),C684),'Best Months'!$A:$B,2,FALSE()),"Not listed")</f>
        <v>Dec–Mar</v>
      </c>
      <c r="S684" t="s">
        <v>858</v>
      </c>
    </row>
    <row r="685" spans="1:19" x14ac:dyDescent="0.3">
      <c r="A685" s="2" t="s">
        <v>855</v>
      </c>
      <c r="B685" s="2" t="s">
        <v>22</v>
      </c>
      <c r="C685" s="2" t="s">
        <v>50</v>
      </c>
      <c r="D685" s="3">
        <v>0.74305555555555602</v>
      </c>
      <c r="E685" s="3">
        <v>0.75694444444444398</v>
      </c>
      <c r="F685" s="2" t="s">
        <v>396</v>
      </c>
      <c r="G685" s="2" t="s">
        <v>52</v>
      </c>
      <c r="H685" s="2">
        <v>4.5999999999999996</v>
      </c>
      <c r="I685" s="2" t="s">
        <v>856</v>
      </c>
      <c r="J685" s="2" t="s">
        <v>857</v>
      </c>
      <c r="K685" s="4" t="s">
        <v>858</v>
      </c>
      <c r="L685" s="2" t="str">
        <f>IFERROR(VLOOKUP(IFERROR(VLOOKUP(C685,'Destination Alias'!$A:$B,2,FALSE()),C685),'Best Months'!$A:$B,2,FALSE()),"Not listed")</f>
        <v>Dec–Mar</v>
      </c>
      <c r="S685" t="s">
        <v>858</v>
      </c>
    </row>
    <row r="686" spans="1:19" x14ac:dyDescent="0.3">
      <c r="A686" s="2" t="s">
        <v>855</v>
      </c>
      <c r="B686" s="2" t="s">
        <v>22</v>
      </c>
      <c r="C686" s="2" t="s">
        <v>50</v>
      </c>
      <c r="D686" s="3">
        <v>0.75694444444444398</v>
      </c>
      <c r="E686" s="3">
        <v>0.77083333333333304</v>
      </c>
      <c r="F686" s="2" t="s">
        <v>396</v>
      </c>
      <c r="G686" s="2" t="s">
        <v>102</v>
      </c>
      <c r="H686" s="2">
        <v>4.5999999999999996</v>
      </c>
      <c r="I686" s="2" t="s">
        <v>856</v>
      </c>
      <c r="J686" s="2" t="s">
        <v>857</v>
      </c>
      <c r="K686" s="4" t="s">
        <v>858</v>
      </c>
      <c r="L686" s="2" t="str">
        <f>IFERROR(VLOOKUP(IFERROR(VLOOKUP(C686,'Destination Alias'!$A:$B,2,FALSE()),C686),'Best Months'!$A:$B,2,FALSE()),"Not listed")</f>
        <v>Dec–Mar</v>
      </c>
      <c r="S686" t="s">
        <v>858</v>
      </c>
    </row>
    <row r="687" spans="1:19" x14ac:dyDescent="0.3">
      <c r="A687" s="2" t="s">
        <v>859</v>
      </c>
      <c r="B687" s="2" t="s">
        <v>22</v>
      </c>
      <c r="C687" s="2" t="s">
        <v>27</v>
      </c>
      <c r="D687" s="3">
        <v>0.27083333333333298</v>
      </c>
      <c r="E687" s="3">
        <v>0.35416666666666702</v>
      </c>
      <c r="F687" s="2" t="s">
        <v>51</v>
      </c>
      <c r="G687" s="2" t="s">
        <v>28</v>
      </c>
      <c r="H687" s="2">
        <v>4.4000000000000004</v>
      </c>
      <c r="I687" s="2" t="s">
        <v>860</v>
      </c>
      <c r="J687" s="2" t="s">
        <v>861</v>
      </c>
      <c r="K687" s="2"/>
      <c r="L687" s="2" t="str">
        <f>IFERROR(VLOOKUP(IFERROR(VLOOKUP(C687,'Destination Alias'!$A:$B,2,FALSE()),C687),'Best Months'!$A:$B,2,FALSE()),"Not listed")</f>
        <v>May–Sep</v>
      </c>
    </row>
    <row r="688" spans="1:19" x14ac:dyDescent="0.3">
      <c r="A688" s="2" t="s">
        <v>862</v>
      </c>
      <c r="B688" s="2" t="s">
        <v>22</v>
      </c>
      <c r="C688" s="2" t="s">
        <v>27</v>
      </c>
      <c r="D688" s="3">
        <v>0.27083333333333298</v>
      </c>
      <c r="E688" s="3">
        <v>0.35416666666666702</v>
      </c>
      <c r="F688" s="2" t="s">
        <v>51</v>
      </c>
      <c r="G688" s="2" t="s">
        <v>28</v>
      </c>
      <c r="H688" s="2">
        <v>4.4000000000000004</v>
      </c>
      <c r="I688" s="2" t="s">
        <v>863</v>
      </c>
      <c r="J688" s="2" t="s">
        <v>864</v>
      </c>
      <c r="K688" s="2"/>
      <c r="L688" s="2" t="str">
        <f>IFERROR(VLOOKUP(IFERROR(VLOOKUP(C688,'Destination Alias'!$A:$B,2,FALSE()),C688),'Best Months'!$A:$B,2,FALSE()),"Not listed")</f>
        <v>May–Sep</v>
      </c>
    </row>
    <row r="689" spans="1:19" x14ac:dyDescent="0.3">
      <c r="A689" s="2" t="s">
        <v>865</v>
      </c>
      <c r="B689" s="2" t="s">
        <v>22</v>
      </c>
      <c r="C689" s="2" t="s">
        <v>108</v>
      </c>
      <c r="D689" s="3">
        <v>0.33333333333333298</v>
      </c>
      <c r="E689" s="3">
        <v>0.36458333333333298</v>
      </c>
      <c r="F689" s="2" t="s">
        <v>90</v>
      </c>
      <c r="G689" s="2" t="s">
        <v>16</v>
      </c>
      <c r="H689" s="2">
        <v>4.5999999999999996</v>
      </c>
      <c r="I689" s="2" t="s">
        <v>866</v>
      </c>
      <c r="J689" s="2" t="s">
        <v>867</v>
      </c>
      <c r="K689" s="4" t="s">
        <v>868</v>
      </c>
      <c r="L689" s="2" t="str">
        <f>IFERROR(VLOOKUP(IFERROR(VLOOKUP(C689,'Destination Alias'!$A:$B,2,FALSE()),C689),'Best Months'!$A:$B,2,FALSE()),"Not listed")</f>
        <v>Jan–Mar, Jul–Aug</v>
      </c>
      <c r="S689" t="s">
        <v>868</v>
      </c>
    </row>
    <row r="690" spans="1:19" x14ac:dyDescent="0.3">
      <c r="A690" s="2" t="s">
        <v>865</v>
      </c>
      <c r="B690" s="2" t="s">
        <v>22</v>
      </c>
      <c r="C690" s="2" t="s">
        <v>108</v>
      </c>
      <c r="D690" s="3">
        <v>0.36458333333333298</v>
      </c>
      <c r="E690" s="3">
        <v>0.39583333333333298</v>
      </c>
      <c r="F690" s="2" t="s">
        <v>90</v>
      </c>
      <c r="G690" s="2" t="s">
        <v>16</v>
      </c>
      <c r="H690" s="2">
        <v>4.5999999999999996</v>
      </c>
      <c r="I690" s="2" t="s">
        <v>866</v>
      </c>
      <c r="J690" s="2" t="s">
        <v>867</v>
      </c>
      <c r="K690" s="4" t="s">
        <v>868</v>
      </c>
      <c r="L690" s="2" t="str">
        <f>IFERROR(VLOOKUP(IFERROR(VLOOKUP(C690,'Destination Alias'!$A:$B,2,FALSE()),C690),'Best Months'!$A:$B,2,FALSE()),"Not listed")</f>
        <v>Jan–Mar, Jul–Aug</v>
      </c>
      <c r="S690" t="s">
        <v>868</v>
      </c>
    </row>
    <row r="691" spans="1:19" x14ac:dyDescent="0.3">
      <c r="A691" s="2" t="s">
        <v>865</v>
      </c>
      <c r="B691" s="2" t="s">
        <v>22</v>
      </c>
      <c r="C691" s="2" t="s">
        <v>108</v>
      </c>
      <c r="D691" s="3">
        <v>0.39583333333333298</v>
      </c>
      <c r="E691" s="3">
        <v>0.42708333333333298</v>
      </c>
      <c r="F691" s="2" t="s">
        <v>90</v>
      </c>
      <c r="G691" s="2" t="s">
        <v>20</v>
      </c>
      <c r="H691" s="2">
        <v>4.5999999999999996</v>
      </c>
      <c r="I691" s="2" t="s">
        <v>866</v>
      </c>
      <c r="J691" s="2" t="s">
        <v>867</v>
      </c>
      <c r="K691" s="4" t="s">
        <v>868</v>
      </c>
      <c r="L691" s="2" t="str">
        <f>IFERROR(VLOOKUP(IFERROR(VLOOKUP(C691,'Destination Alias'!$A:$B,2,FALSE()),C691),'Best Months'!$A:$B,2,FALSE()),"Not listed")</f>
        <v>Jan–Mar, Jul–Aug</v>
      </c>
      <c r="S691" t="s">
        <v>868</v>
      </c>
    </row>
    <row r="692" spans="1:19" x14ac:dyDescent="0.3">
      <c r="A692" s="2" t="s">
        <v>865</v>
      </c>
      <c r="B692" s="2" t="s">
        <v>22</v>
      </c>
      <c r="C692" s="2" t="s">
        <v>108</v>
      </c>
      <c r="D692" s="3">
        <v>0.42708333333333298</v>
      </c>
      <c r="E692" s="3">
        <v>0.45833333333333298</v>
      </c>
      <c r="F692" s="2" t="s">
        <v>90</v>
      </c>
      <c r="G692" s="2" t="s">
        <v>20</v>
      </c>
      <c r="H692" s="2">
        <v>4.5999999999999996</v>
      </c>
      <c r="I692" s="2" t="s">
        <v>866</v>
      </c>
      <c r="J692" s="2" t="s">
        <v>867</v>
      </c>
      <c r="K692" s="4" t="s">
        <v>868</v>
      </c>
      <c r="L692" s="2" t="str">
        <f>IFERROR(VLOOKUP(IFERROR(VLOOKUP(C692,'Destination Alias'!$A:$B,2,FALSE()),C692),'Best Months'!$A:$B,2,FALSE()),"Not listed")</f>
        <v>Jan–Mar, Jul–Aug</v>
      </c>
      <c r="S692" t="s">
        <v>868</v>
      </c>
    </row>
    <row r="693" spans="1:19" x14ac:dyDescent="0.3">
      <c r="A693" s="2" t="s">
        <v>869</v>
      </c>
      <c r="B693" s="2" t="s">
        <v>13</v>
      </c>
      <c r="C693" s="2" t="s">
        <v>40</v>
      </c>
      <c r="D693" s="3">
        <v>0.33333333333333298</v>
      </c>
      <c r="E693" s="3">
        <v>0.39583333333333298</v>
      </c>
      <c r="F693" s="2" t="s">
        <v>15</v>
      </c>
      <c r="G693" s="2" t="s">
        <v>16</v>
      </c>
      <c r="H693" s="2">
        <v>4.0999999999999996</v>
      </c>
      <c r="I693" s="2" t="s">
        <v>604</v>
      </c>
      <c r="J693" s="2" t="s">
        <v>870</v>
      </c>
      <c r="K693" s="4" t="s">
        <v>871</v>
      </c>
      <c r="L693" s="2" t="str">
        <f>IFERROR(VLOOKUP(IFERROR(VLOOKUP(C693,'Destination Alias'!$A:$B,2,FALSE()),C693),'Best Months'!$A:$B,2,FALSE()),"Not listed")</f>
        <v>Jan–Mar, Jul–Aug</v>
      </c>
      <c r="S693" t="s">
        <v>871</v>
      </c>
    </row>
    <row r="694" spans="1:19" x14ac:dyDescent="0.3">
      <c r="A694" s="2" t="s">
        <v>869</v>
      </c>
      <c r="B694" s="2" t="s">
        <v>13</v>
      </c>
      <c r="C694" s="2" t="s">
        <v>40</v>
      </c>
      <c r="D694" s="3">
        <v>0.39583333333333298</v>
      </c>
      <c r="E694" s="3">
        <v>0.45833333333333298</v>
      </c>
      <c r="F694" s="2" t="s">
        <v>15</v>
      </c>
      <c r="G694" s="2" t="s">
        <v>20</v>
      </c>
      <c r="H694" s="2">
        <v>4.0999999999999996</v>
      </c>
      <c r="I694" s="2" t="s">
        <v>604</v>
      </c>
      <c r="J694" s="2" t="s">
        <v>870</v>
      </c>
      <c r="K694" s="4" t="s">
        <v>871</v>
      </c>
      <c r="L694" s="2" t="str">
        <f>IFERROR(VLOOKUP(IFERROR(VLOOKUP(C694,'Destination Alias'!$A:$B,2,FALSE()),C694),'Best Months'!$A:$B,2,FALSE()),"Not listed")</f>
        <v>Jan–Mar, Jul–Aug</v>
      </c>
      <c r="S694" t="s">
        <v>871</v>
      </c>
    </row>
    <row r="695" spans="1:19" x14ac:dyDescent="0.3">
      <c r="A695" s="2" t="s">
        <v>872</v>
      </c>
      <c r="B695" s="2" t="s">
        <v>49</v>
      </c>
      <c r="C695" s="2" t="s">
        <v>44</v>
      </c>
      <c r="D695" s="3">
        <v>0.27083333333333298</v>
      </c>
      <c r="E695" s="3">
        <v>0.33333333333333298</v>
      </c>
      <c r="F695" s="2" t="s">
        <v>15</v>
      </c>
      <c r="G695" s="2" t="s">
        <v>28</v>
      </c>
      <c r="H695" s="2">
        <v>4.5</v>
      </c>
      <c r="I695" s="2" t="s">
        <v>873</v>
      </c>
      <c r="J695" s="2" t="s">
        <v>874</v>
      </c>
      <c r="K695" s="4" t="s">
        <v>875</v>
      </c>
      <c r="L695" s="2" t="str">
        <f>IFERROR(VLOOKUP(IFERROR(VLOOKUP(C695,'Destination Alias'!$A:$B,2,FALSE()),C695),'Best Months'!$A:$B,2,FALSE()),"Not listed")</f>
        <v>Jan–Mar, Jul–Sep</v>
      </c>
      <c r="S695" t="s">
        <v>875</v>
      </c>
    </row>
    <row r="696" spans="1:19" x14ac:dyDescent="0.3">
      <c r="A696" s="2" t="s">
        <v>872</v>
      </c>
      <c r="B696" s="2" t="s">
        <v>49</v>
      </c>
      <c r="C696" s="2" t="s">
        <v>44</v>
      </c>
      <c r="D696" s="3">
        <v>0.33333333333333298</v>
      </c>
      <c r="E696" s="3">
        <v>0.39583333333333298</v>
      </c>
      <c r="F696" s="2" t="s">
        <v>15</v>
      </c>
      <c r="G696" s="2" t="s">
        <v>16</v>
      </c>
      <c r="H696" s="2">
        <v>4.5</v>
      </c>
      <c r="I696" s="2" t="s">
        <v>873</v>
      </c>
      <c r="J696" s="2" t="s">
        <v>874</v>
      </c>
      <c r="K696" s="4" t="s">
        <v>875</v>
      </c>
      <c r="L696" s="2" t="str">
        <f>IFERROR(VLOOKUP(IFERROR(VLOOKUP(C696,'Destination Alias'!$A:$B,2,FALSE()),C696),'Best Months'!$A:$B,2,FALSE()),"Not listed")</f>
        <v>Jan–Mar, Jul–Sep</v>
      </c>
      <c r="S696" t="s">
        <v>875</v>
      </c>
    </row>
    <row r="697" spans="1:19" x14ac:dyDescent="0.3">
      <c r="A697" s="2" t="s">
        <v>876</v>
      </c>
      <c r="B697" s="2" t="s">
        <v>22</v>
      </c>
      <c r="C697" s="2" t="s">
        <v>530</v>
      </c>
      <c r="D697" s="3">
        <v>0.33333333333333298</v>
      </c>
      <c r="E697" s="3">
        <v>0.36458333333333298</v>
      </c>
      <c r="F697" s="2" t="s">
        <v>90</v>
      </c>
      <c r="G697" s="2" t="s">
        <v>16</v>
      </c>
      <c r="H697" s="2">
        <v>4.5999999999999996</v>
      </c>
      <c r="I697" s="2" t="s">
        <v>877</v>
      </c>
      <c r="J697" s="2" t="s">
        <v>878</v>
      </c>
      <c r="K697" s="2"/>
      <c r="L697" s="2" t="str">
        <f>IFERROR(VLOOKUP(IFERROR(VLOOKUP(C697,'Destination Alias'!$A:$B,2,FALSE()),C697),'Best Months'!$A:$B,2,FALSE()),"Not listed")</f>
        <v>Jan–Mar, Jul–Sep</v>
      </c>
    </row>
    <row r="698" spans="1:19" x14ac:dyDescent="0.3">
      <c r="A698" s="2" t="s">
        <v>876</v>
      </c>
      <c r="B698" s="2" t="s">
        <v>22</v>
      </c>
      <c r="C698" s="2" t="s">
        <v>530</v>
      </c>
      <c r="D698" s="3">
        <v>0.36458333333333298</v>
      </c>
      <c r="E698" s="3">
        <v>0.39583333333333298</v>
      </c>
      <c r="F698" s="2" t="s">
        <v>90</v>
      </c>
      <c r="G698" s="2" t="s">
        <v>16</v>
      </c>
      <c r="H698" s="2">
        <v>4.5999999999999996</v>
      </c>
      <c r="I698" s="2" t="s">
        <v>877</v>
      </c>
      <c r="J698" s="2" t="s">
        <v>878</v>
      </c>
      <c r="K698" s="2"/>
      <c r="L698" s="2" t="str">
        <f>IFERROR(VLOOKUP(IFERROR(VLOOKUP(C698,'Destination Alias'!$A:$B,2,FALSE()),C698),'Best Months'!$A:$B,2,FALSE()),"Not listed")</f>
        <v>Jan–Mar, Jul–Sep</v>
      </c>
    </row>
    <row r="699" spans="1:19" x14ac:dyDescent="0.3">
      <c r="A699" s="2" t="s">
        <v>876</v>
      </c>
      <c r="B699" s="2" t="s">
        <v>22</v>
      </c>
      <c r="C699" s="2" t="s">
        <v>530</v>
      </c>
      <c r="D699" s="3">
        <v>0.39583333333333298</v>
      </c>
      <c r="E699" s="3">
        <v>0.42708333333333298</v>
      </c>
      <c r="F699" s="2" t="s">
        <v>90</v>
      </c>
      <c r="G699" s="2" t="s">
        <v>20</v>
      </c>
      <c r="H699" s="2">
        <v>4.5999999999999996</v>
      </c>
      <c r="I699" s="2" t="s">
        <v>877</v>
      </c>
      <c r="J699" s="2" t="s">
        <v>878</v>
      </c>
      <c r="K699" s="2"/>
      <c r="L699" s="2" t="str">
        <f>IFERROR(VLOOKUP(IFERROR(VLOOKUP(C699,'Destination Alias'!$A:$B,2,FALSE()),C699),'Best Months'!$A:$B,2,FALSE()),"Not listed")</f>
        <v>Jan–Mar, Jul–Sep</v>
      </c>
    </row>
    <row r="700" spans="1:19" x14ac:dyDescent="0.3">
      <c r="A700" s="2" t="s">
        <v>876</v>
      </c>
      <c r="B700" s="2" t="s">
        <v>22</v>
      </c>
      <c r="C700" s="2" t="s">
        <v>530</v>
      </c>
      <c r="D700" s="3">
        <v>0.42708333333333298</v>
      </c>
      <c r="E700" s="3">
        <v>0.45833333333333298</v>
      </c>
      <c r="F700" s="2" t="s">
        <v>90</v>
      </c>
      <c r="G700" s="2" t="s">
        <v>20</v>
      </c>
      <c r="H700" s="2">
        <v>4.5999999999999996</v>
      </c>
      <c r="I700" s="2" t="s">
        <v>877</v>
      </c>
      <c r="J700" s="2" t="s">
        <v>878</v>
      </c>
      <c r="K700" s="2"/>
      <c r="L700" s="2" t="str">
        <f>IFERROR(VLOOKUP(IFERROR(VLOOKUP(C700,'Destination Alias'!$A:$B,2,FALSE()),C700),'Best Months'!$A:$B,2,FALSE()),"Not listed")</f>
        <v>Jan–Mar, Jul–Sep</v>
      </c>
    </row>
    <row r="701" spans="1:19" x14ac:dyDescent="0.3">
      <c r="A701" s="2" t="s">
        <v>879</v>
      </c>
      <c r="B701" s="2" t="s">
        <v>49</v>
      </c>
      <c r="C701" s="2" t="s">
        <v>734</v>
      </c>
      <c r="D701" s="3">
        <v>0.25</v>
      </c>
      <c r="E701" s="3">
        <v>0.3125</v>
      </c>
      <c r="F701" s="2" t="s">
        <v>15</v>
      </c>
      <c r="G701" s="2" t="s">
        <v>28</v>
      </c>
      <c r="H701" s="2">
        <v>4.5</v>
      </c>
      <c r="I701" s="2" t="s">
        <v>880</v>
      </c>
      <c r="J701" s="2" t="s">
        <v>881</v>
      </c>
      <c r="K701" s="4" t="s">
        <v>882</v>
      </c>
      <c r="L701" s="2" t="str">
        <f>IFERROR(VLOOKUP(IFERROR(VLOOKUP(C701,'Destination Alias'!$A:$B,2,FALSE()),C701),'Best Months'!$A:$B,2,FALSE()),"Not listed")</f>
        <v>May–Sep</v>
      </c>
      <c r="S701" t="s">
        <v>882</v>
      </c>
    </row>
    <row r="702" spans="1:19" x14ac:dyDescent="0.3">
      <c r="A702" s="2" t="s">
        <v>879</v>
      </c>
      <c r="B702" s="2" t="s">
        <v>49</v>
      </c>
      <c r="C702" s="2" t="s">
        <v>734</v>
      </c>
      <c r="D702" s="3">
        <v>0.3125</v>
      </c>
      <c r="E702" s="3">
        <v>0.375</v>
      </c>
      <c r="F702" s="2" t="s">
        <v>15</v>
      </c>
      <c r="G702" s="2" t="s">
        <v>38</v>
      </c>
      <c r="H702" s="2">
        <v>4.5</v>
      </c>
      <c r="I702" s="2" t="s">
        <v>880</v>
      </c>
      <c r="J702" s="2" t="s">
        <v>881</v>
      </c>
      <c r="K702" s="4" t="s">
        <v>882</v>
      </c>
      <c r="L702" s="2" t="str">
        <f>IFERROR(VLOOKUP(IFERROR(VLOOKUP(C702,'Destination Alias'!$A:$B,2,FALSE()),C702),'Best Months'!$A:$B,2,FALSE()),"Not listed")</f>
        <v>May–Sep</v>
      </c>
      <c r="S702" t="s">
        <v>882</v>
      </c>
    </row>
    <row r="703" spans="1:19" x14ac:dyDescent="0.3">
      <c r="A703" s="2" t="s">
        <v>883</v>
      </c>
      <c r="B703" s="2" t="s">
        <v>22</v>
      </c>
      <c r="C703" s="2" t="s">
        <v>27</v>
      </c>
      <c r="D703" s="3">
        <v>0.27083333333333298</v>
      </c>
      <c r="E703" s="3">
        <v>0.3125</v>
      </c>
      <c r="F703" s="2" t="s">
        <v>35</v>
      </c>
      <c r="G703" s="2" t="s">
        <v>28</v>
      </c>
      <c r="H703" s="2">
        <v>4.5999999999999996</v>
      </c>
      <c r="I703" s="2" t="s">
        <v>884</v>
      </c>
      <c r="J703" s="2" t="s">
        <v>885</v>
      </c>
      <c r="K703" s="2"/>
      <c r="L703" s="2" t="str">
        <f>IFERROR(VLOOKUP(IFERROR(VLOOKUP(C703,'Destination Alias'!$A:$B,2,FALSE()),C703),'Best Months'!$A:$B,2,FALSE()),"Not listed")</f>
        <v>May–Sep</v>
      </c>
    </row>
    <row r="704" spans="1:19" x14ac:dyDescent="0.3">
      <c r="A704" s="2" t="s">
        <v>883</v>
      </c>
      <c r="B704" s="2" t="s">
        <v>22</v>
      </c>
      <c r="C704" s="2" t="s">
        <v>27</v>
      </c>
      <c r="D704" s="3">
        <v>0.3125</v>
      </c>
      <c r="E704" s="3">
        <v>0.35416666666666702</v>
      </c>
      <c r="F704" s="2" t="s">
        <v>35</v>
      </c>
      <c r="G704" s="2" t="s">
        <v>38</v>
      </c>
      <c r="H704" s="2">
        <v>4.5999999999999996</v>
      </c>
      <c r="I704" s="2" t="s">
        <v>884</v>
      </c>
      <c r="J704" s="2" t="s">
        <v>885</v>
      </c>
      <c r="K704" s="2"/>
      <c r="L704" s="2" t="str">
        <f>IFERROR(VLOOKUP(IFERROR(VLOOKUP(C704,'Destination Alias'!$A:$B,2,FALSE()),C704),'Best Months'!$A:$B,2,FALSE()),"Not listed")</f>
        <v>May–Sep</v>
      </c>
    </row>
    <row r="705" spans="1:19" x14ac:dyDescent="0.3">
      <c r="A705" s="2" t="s">
        <v>883</v>
      </c>
      <c r="B705" s="2" t="s">
        <v>22</v>
      </c>
      <c r="C705" s="2" t="s">
        <v>27</v>
      </c>
      <c r="D705" s="3">
        <v>0.35416666666666702</v>
      </c>
      <c r="E705" s="3">
        <v>0.39583333333333298</v>
      </c>
      <c r="F705" s="2" t="s">
        <v>35</v>
      </c>
      <c r="G705" s="2" t="s">
        <v>16</v>
      </c>
      <c r="H705" s="2">
        <v>4.5999999999999996</v>
      </c>
      <c r="I705" s="2" t="s">
        <v>884</v>
      </c>
      <c r="J705" s="2" t="s">
        <v>885</v>
      </c>
      <c r="K705" s="2"/>
      <c r="L705" s="2" t="str">
        <f>IFERROR(VLOOKUP(IFERROR(VLOOKUP(C705,'Destination Alias'!$A:$B,2,FALSE()),C705),'Best Months'!$A:$B,2,FALSE()),"Not listed")</f>
        <v>May–Sep</v>
      </c>
    </row>
    <row r="706" spans="1:19" x14ac:dyDescent="0.3">
      <c r="A706" s="2" t="s">
        <v>886</v>
      </c>
      <c r="B706" s="2" t="s">
        <v>13</v>
      </c>
      <c r="C706" s="2" t="s">
        <v>40</v>
      </c>
      <c r="D706" s="3">
        <v>0.33333333333333298</v>
      </c>
      <c r="E706" s="3">
        <v>0.39583333333333298</v>
      </c>
      <c r="F706" s="2" t="s">
        <v>15</v>
      </c>
      <c r="G706" s="2" t="s">
        <v>16</v>
      </c>
      <c r="H706" s="2">
        <v>4.0999999999999996</v>
      </c>
      <c r="I706" s="2" t="s">
        <v>604</v>
      </c>
      <c r="J706" s="2" t="s">
        <v>887</v>
      </c>
      <c r="K706" s="4" t="s">
        <v>888</v>
      </c>
      <c r="L706" s="2" t="str">
        <f>IFERROR(VLOOKUP(IFERROR(VLOOKUP(C706,'Destination Alias'!$A:$B,2,FALSE()),C706),'Best Months'!$A:$B,2,FALSE()),"Not listed")</f>
        <v>Jan–Mar, Jul–Aug</v>
      </c>
      <c r="S706" t="s">
        <v>888</v>
      </c>
    </row>
    <row r="707" spans="1:19" x14ac:dyDescent="0.3">
      <c r="A707" s="2" t="s">
        <v>886</v>
      </c>
      <c r="B707" s="2" t="s">
        <v>13</v>
      </c>
      <c r="C707" s="2" t="s">
        <v>40</v>
      </c>
      <c r="D707" s="3">
        <v>0.39583333333333298</v>
      </c>
      <c r="E707" s="3">
        <v>0.45833333333333298</v>
      </c>
      <c r="F707" s="2" t="s">
        <v>15</v>
      </c>
      <c r="G707" s="2" t="s">
        <v>20</v>
      </c>
      <c r="H707" s="2">
        <v>4.0999999999999996</v>
      </c>
      <c r="I707" s="2" t="s">
        <v>604</v>
      </c>
      <c r="J707" s="2" t="s">
        <v>887</v>
      </c>
      <c r="K707" s="4" t="s">
        <v>888</v>
      </c>
      <c r="L707" s="2" t="str">
        <f>IFERROR(VLOOKUP(IFERROR(VLOOKUP(C707,'Destination Alias'!$A:$B,2,FALSE()),C707),'Best Months'!$A:$B,2,FALSE()),"Not listed")</f>
        <v>Jan–Mar, Jul–Aug</v>
      </c>
      <c r="S707" t="s">
        <v>888</v>
      </c>
    </row>
    <row r="708" spans="1:19" x14ac:dyDescent="0.3">
      <c r="A708" s="2" t="s">
        <v>889</v>
      </c>
      <c r="B708" s="2" t="s">
        <v>22</v>
      </c>
      <c r="C708" s="2" t="s">
        <v>65</v>
      </c>
      <c r="D708" s="3">
        <v>0.66666666666666696</v>
      </c>
      <c r="E708" s="3">
        <v>0.69791666666666696</v>
      </c>
      <c r="F708" s="2" t="s">
        <v>90</v>
      </c>
      <c r="G708" s="2" t="s">
        <v>73</v>
      </c>
      <c r="H708" s="2">
        <v>4.5999999999999996</v>
      </c>
      <c r="I708" s="2" t="s">
        <v>890</v>
      </c>
      <c r="J708" s="2" t="s">
        <v>891</v>
      </c>
      <c r="K708" s="4" t="s">
        <v>892</v>
      </c>
      <c r="L708" s="2" t="str">
        <f>IFERROR(VLOOKUP(IFERROR(VLOOKUP(C708,'Destination Alias'!$A:$B,2,FALSE()),C708),'Best Months'!$A:$B,2,FALSE()),"Not listed")</f>
        <v>Dec–Mar</v>
      </c>
      <c r="S708" t="s">
        <v>892</v>
      </c>
    </row>
    <row r="709" spans="1:19" x14ac:dyDescent="0.3">
      <c r="A709" s="2" t="s">
        <v>889</v>
      </c>
      <c r="B709" s="2" t="s">
        <v>22</v>
      </c>
      <c r="C709" s="2" t="s">
        <v>65</v>
      </c>
      <c r="D709" s="3">
        <v>0.69791666666666696</v>
      </c>
      <c r="E709" s="3">
        <v>0.72916666666666696</v>
      </c>
      <c r="F709" s="2" t="s">
        <v>90</v>
      </c>
      <c r="G709" s="2" t="s">
        <v>73</v>
      </c>
      <c r="H709" s="2">
        <v>4.5999999999999996</v>
      </c>
      <c r="I709" s="2" t="s">
        <v>890</v>
      </c>
      <c r="J709" s="2" t="s">
        <v>891</v>
      </c>
      <c r="K709" s="4" t="s">
        <v>892</v>
      </c>
      <c r="L709" s="2" t="str">
        <f>IFERROR(VLOOKUP(IFERROR(VLOOKUP(C709,'Destination Alias'!$A:$B,2,FALSE()),C709),'Best Months'!$A:$B,2,FALSE()),"Not listed")</f>
        <v>Dec–Mar</v>
      </c>
      <c r="S709" t="s">
        <v>892</v>
      </c>
    </row>
    <row r="710" spans="1:19" x14ac:dyDescent="0.3">
      <c r="A710" s="2" t="s">
        <v>889</v>
      </c>
      <c r="B710" s="2" t="s">
        <v>22</v>
      </c>
      <c r="C710" s="2" t="s">
        <v>65</v>
      </c>
      <c r="D710" s="3">
        <v>0.72916666666666696</v>
      </c>
      <c r="E710" s="3">
        <v>0.76041666666666696</v>
      </c>
      <c r="F710" s="2" t="s">
        <v>90</v>
      </c>
      <c r="G710" s="2" t="s">
        <v>52</v>
      </c>
      <c r="H710" s="2">
        <v>4.5999999999999996</v>
      </c>
      <c r="I710" s="2" t="s">
        <v>890</v>
      </c>
      <c r="J710" s="2" t="s">
        <v>891</v>
      </c>
      <c r="K710" s="4" t="s">
        <v>892</v>
      </c>
      <c r="L710" s="2" t="str">
        <f>IFERROR(VLOOKUP(IFERROR(VLOOKUP(C710,'Destination Alias'!$A:$B,2,FALSE()),C710),'Best Months'!$A:$B,2,FALSE()),"Not listed")</f>
        <v>Dec–Mar</v>
      </c>
      <c r="S710" t="s">
        <v>892</v>
      </c>
    </row>
    <row r="711" spans="1:19" x14ac:dyDescent="0.3">
      <c r="A711" s="2" t="s">
        <v>893</v>
      </c>
      <c r="B711" s="2" t="s">
        <v>13</v>
      </c>
      <c r="C711" s="2" t="s">
        <v>65</v>
      </c>
      <c r="D711" s="3">
        <v>0.70833333333333304</v>
      </c>
      <c r="E711" s="3">
        <v>0.73958333333333304</v>
      </c>
      <c r="F711" s="2" t="s">
        <v>90</v>
      </c>
      <c r="G711" s="2" t="s">
        <v>52</v>
      </c>
      <c r="H711" s="2">
        <v>4.2</v>
      </c>
      <c r="I711" s="2" t="s">
        <v>894</v>
      </c>
      <c r="J711" s="2" t="s">
        <v>895</v>
      </c>
      <c r="K711" s="4" t="s">
        <v>896</v>
      </c>
      <c r="L711" s="2" t="str">
        <f>IFERROR(VLOOKUP(IFERROR(VLOOKUP(C711,'Destination Alias'!$A:$B,2,FALSE()),C711),'Best Months'!$A:$B,2,FALSE()),"Not listed")</f>
        <v>Dec–Mar</v>
      </c>
      <c r="S711" t="s">
        <v>896</v>
      </c>
    </row>
    <row r="712" spans="1:19" x14ac:dyDescent="0.3">
      <c r="A712" s="2" t="s">
        <v>893</v>
      </c>
      <c r="B712" s="2" t="s">
        <v>13</v>
      </c>
      <c r="C712" s="2" t="s">
        <v>65</v>
      </c>
      <c r="D712" s="3">
        <v>0.73958333333333304</v>
      </c>
      <c r="E712" s="3">
        <v>0.77083333333333304</v>
      </c>
      <c r="F712" s="2" t="s">
        <v>90</v>
      </c>
      <c r="G712" s="2" t="s">
        <v>52</v>
      </c>
      <c r="H712" s="2">
        <v>4.2</v>
      </c>
      <c r="I712" s="2" t="s">
        <v>894</v>
      </c>
      <c r="J712" s="2" t="s">
        <v>895</v>
      </c>
      <c r="K712" s="4" t="s">
        <v>896</v>
      </c>
      <c r="L712" s="2" t="str">
        <f>IFERROR(VLOOKUP(IFERROR(VLOOKUP(C712,'Destination Alias'!$A:$B,2,FALSE()),C712),'Best Months'!$A:$B,2,FALSE()),"Not listed")</f>
        <v>Dec–Mar</v>
      </c>
      <c r="S712" t="s">
        <v>896</v>
      </c>
    </row>
    <row r="713" spans="1:19" x14ac:dyDescent="0.3">
      <c r="A713" s="2" t="s">
        <v>897</v>
      </c>
      <c r="B713" s="2" t="s">
        <v>361</v>
      </c>
      <c r="C713" s="2" t="s">
        <v>65</v>
      </c>
      <c r="D713" s="3">
        <v>0.33333333333333298</v>
      </c>
      <c r="E713" s="3">
        <v>0.41666666666666702</v>
      </c>
      <c r="F713" s="2" t="s">
        <v>51</v>
      </c>
      <c r="G713" s="2" t="s">
        <v>16</v>
      </c>
      <c r="H713" s="2">
        <v>4.4000000000000004</v>
      </c>
      <c r="I713" s="2" t="s">
        <v>898</v>
      </c>
      <c r="J713" s="2" t="s">
        <v>899</v>
      </c>
      <c r="K713" s="4" t="s">
        <v>900</v>
      </c>
      <c r="L713" s="2" t="str">
        <f>IFERROR(VLOOKUP(IFERROR(VLOOKUP(C713,'Destination Alias'!$A:$B,2,FALSE()),C713),'Best Months'!$A:$B,2,FALSE()),"Not listed")</f>
        <v>Dec–Mar</v>
      </c>
      <c r="S713" t="s">
        <v>900</v>
      </c>
    </row>
    <row r="714" spans="1:19" x14ac:dyDescent="0.3">
      <c r="A714" s="2" t="s">
        <v>901</v>
      </c>
      <c r="B714" s="2" t="s">
        <v>22</v>
      </c>
      <c r="C714" s="2" t="s">
        <v>50</v>
      </c>
      <c r="D714" s="3">
        <v>0.66666666666666696</v>
      </c>
      <c r="E714" s="3">
        <v>0.70833333333333304</v>
      </c>
      <c r="F714" s="2" t="s">
        <v>35</v>
      </c>
      <c r="G714" s="2" t="s">
        <v>73</v>
      </c>
      <c r="H714" s="2">
        <v>4.5999999999999996</v>
      </c>
      <c r="I714" s="2" t="s">
        <v>902</v>
      </c>
      <c r="J714" s="2" t="s">
        <v>903</v>
      </c>
      <c r="K714" s="4" t="s">
        <v>904</v>
      </c>
      <c r="L714" s="2" t="str">
        <f>IFERROR(VLOOKUP(IFERROR(VLOOKUP(C714,'Destination Alias'!$A:$B,2,FALSE()),C714),'Best Months'!$A:$B,2,FALSE()),"Not listed")</f>
        <v>Dec–Mar</v>
      </c>
      <c r="S714" t="s">
        <v>904</v>
      </c>
    </row>
    <row r="715" spans="1:19" x14ac:dyDescent="0.3">
      <c r="A715" s="2" t="s">
        <v>901</v>
      </c>
      <c r="B715" s="2" t="s">
        <v>22</v>
      </c>
      <c r="C715" s="2" t="s">
        <v>50</v>
      </c>
      <c r="D715" s="3">
        <v>0.70833333333333304</v>
      </c>
      <c r="E715" s="3">
        <v>0.75</v>
      </c>
      <c r="F715" s="2" t="s">
        <v>35</v>
      </c>
      <c r="G715" s="2" t="s">
        <v>52</v>
      </c>
      <c r="H715" s="2">
        <v>4.5999999999999996</v>
      </c>
      <c r="I715" s="2" t="s">
        <v>902</v>
      </c>
      <c r="J715" s="2" t="s">
        <v>903</v>
      </c>
      <c r="K715" s="4" t="s">
        <v>904</v>
      </c>
      <c r="L715" s="2" t="str">
        <f>IFERROR(VLOOKUP(IFERROR(VLOOKUP(C715,'Destination Alias'!$A:$B,2,FALSE()),C715),'Best Months'!$A:$B,2,FALSE()),"Not listed")</f>
        <v>Dec–Mar</v>
      </c>
      <c r="S715" t="s">
        <v>904</v>
      </c>
    </row>
    <row r="716" spans="1:19" x14ac:dyDescent="0.3">
      <c r="A716" s="2" t="s">
        <v>901</v>
      </c>
      <c r="B716" s="2" t="s">
        <v>22</v>
      </c>
      <c r="C716" s="2" t="s">
        <v>50</v>
      </c>
      <c r="D716" s="3">
        <v>0.75</v>
      </c>
      <c r="E716" s="3">
        <v>0.79166666666666696</v>
      </c>
      <c r="F716" s="2" t="s">
        <v>35</v>
      </c>
      <c r="G716" s="2" t="s">
        <v>102</v>
      </c>
      <c r="H716" s="2">
        <v>4.5999999999999996</v>
      </c>
      <c r="I716" s="2" t="s">
        <v>902</v>
      </c>
      <c r="J716" s="2" t="s">
        <v>903</v>
      </c>
      <c r="K716" s="4" t="s">
        <v>904</v>
      </c>
      <c r="L716" s="2" t="str">
        <f>IFERROR(VLOOKUP(IFERROR(VLOOKUP(C716,'Destination Alias'!$A:$B,2,FALSE()),C716),'Best Months'!$A:$B,2,FALSE()),"Not listed")</f>
        <v>Dec–Mar</v>
      </c>
      <c r="S716" t="s">
        <v>904</v>
      </c>
    </row>
    <row r="717" spans="1:19" x14ac:dyDescent="0.3">
      <c r="A717" s="2" t="s">
        <v>901</v>
      </c>
      <c r="B717" s="2" t="s">
        <v>22</v>
      </c>
      <c r="C717" s="2" t="s">
        <v>50</v>
      </c>
      <c r="D717" s="3">
        <v>0.79166666666666696</v>
      </c>
      <c r="E717" s="3">
        <v>0.83333333333333304</v>
      </c>
      <c r="F717" s="2" t="s">
        <v>35</v>
      </c>
      <c r="G717" s="2" t="s">
        <v>102</v>
      </c>
      <c r="H717" s="2">
        <v>4.5999999999999996</v>
      </c>
      <c r="I717" s="2" t="s">
        <v>902</v>
      </c>
      <c r="J717" s="2" t="s">
        <v>903</v>
      </c>
      <c r="K717" s="4" t="s">
        <v>904</v>
      </c>
      <c r="L717" s="2" t="str">
        <f>IFERROR(VLOOKUP(IFERROR(VLOOKUP(C717,'Destination Alias'!$A:$B,2,FALSE()),C717),'Best Months'!$A:$B,2,FALSE()),"Not listed")</f>
        <v>Dec–Mar</v>
      </c>
      <c r="S717" t="s">
        <v>904</v>
      </c>
    </row>
    <row r="718" spans="1:19" x14ac:dyDescent="0.3">
      <c r="A718" s="2" t="s">
        <v>905</v>
      </c>
      <c r="B718" s="2" t="s">
        <v>241</v>
      </c>
      <c r="C718" s="2" t="s">
        <v>615</v>
      </c>
      <c r="D718" s="3">
        <v>0.27083333333333298</v>
      </c>
      <c r="E718" s="3">
        <v>0.39583333333333298</v>
      </c>
      <c r="F718" s="2" t="s">
        <v>61</v>
      </c>
      <c r="G718" s="2" t="s">
        <v>28</v>
      </c>
      <c r="H718" s="2">
        <v>4</v>
      </c>
      <c r="I718" s="2" t="s">
        <v>906</v>
      </c>
      <c r="J718" s="2" t="s">
        <v>907</v>
      </c>
      <c r="K718" s="2"/>
      <c r="L718" s="2" t="str">
        <f>IFERROR(VLOOKUP(IFERROR(VLOOKUP(C718,'Destination Alias'!$A:$B,2,FALSE()),C718),'Best Months'!$A:$B,2,FALSE()),"Not listed")</f>
        <v>May–Sep</v>
      </c>
    </row>
    <row r="719" spans="1:19" x14ac:dyDescent="0.3">
      <c r="A719" s="2" t="s">
        <v>905</v>
      </c>
      <c r="B719" s="2" t="s">
        <v>241</v>
      </c>
      <c r="C719" s="2" t="s">
        <v>615</v>
      </c>
      <c r="D719" s="3">
        <v>0.33333333333333298</v>
      </c>
      <c r="E719" s="3">
        <v>0.45833333333333298</v>
      </c>
      <c r="F719" s="2" t="s">
        <v>61</v>
      </c>
      <c r="G719" s="2" t="s">
        <v>16</v>
      </c>
      <c r="H719" s="2">
        <v>4</v>
      </c>
      <c r="I719" s="2" t="s">
        <v>906</v>
      </c>
      <c r="J719" s="2" t="s">
        <v>907</v>
      </c>
      <c r="K719" s="2"/>
      <c r="L719" s="2" t="str">
        <f>IFERROR(VLOOKUP(IFERROR(VLOOKUP(C719,'Destination Alias'!$A:$B,2,FALSE()),C719),'Best Months'!$A:$B,2,FALSE()),"Not listed")</f>
        <v>May–Sep</v>
      </c>
    </row>
    <row r="720" spans="1:19" x14ac:dyDescent="0.3">
      <c r="A720" s="2" t="s">
        <v>905</v>
      </c>
      <c r="B720" s="2" t="s">
        <v>241</v>
      </c>
      <c r="C720" s="2" t="s">
        <v>615</v>
      </c>
      <c r="D720" s="3">
        <v>0.35416666666666702</v>
      </c>
      <c r="E720" s="3">
        <v>0.47916666666666702</v>
      </c>
      <c r="F720" s="2" t="s">
        <v>61</v>
      </c>
      <c r="G720" s="2" t="s">
        <v>16</v>
      </c>
      <c r="H720" s="2">
        <v>4</v>
      </c>
      <c r="I720" s="2" t="s">
        <v>906</v>
      </c>
      <c r="J720" s="2" t="s">
        <v>907</v>
      </c>
      <c r="K720" s="2"/>
      <c r="L720" s="2" t="str">
        <f>IFERROR(VLOOKUP(IFERROR(VLOOKUP(C720,'Destination Alias'!$A:$B,2,FALSE()),C720),'Best Months'!$A:$B,2,FALSE()),"Not listed")</f>
        <v>May–Sep</v>
      </c>
    </row>
    <row r="721" spans="1:12" x14ac:dyDescent="0.3">
      <c r="A721" s="2" t="s">
        <v>905</v>
      </c>
      <c r="B721" s="2" t="s">
        <v>241</v>
      </c>
      <c r="C721" s="2" t="s">
        <v>615</v>
      </c>
      <c r="D721" s="3">
        <v>0.39583333333333298</v>
      </c>
      <c r="E721" s="3">
        <v>0.52083333333333304</v>
      </c>
      <c r="F721" s="2" t="s">
        <v>61</v>
      </c>
      <c r="G721" s="2" t="s">
        <v>20</v>
      </c>
      <c r="H721" s="2">
        <v>2</v>
      </c>
      <c r="I721" s="2" t="s">
        <v>906</v>
      </c>
      <c r="J721" s="2" t="s">
        <v>907</v>
      </c>
      <c r="K721" s="2"/>
      <c r="L721" s="2" t="str">
        <f>IFERROR(VLOOKUP(IFERROR(VLOOKUP(C721,'Destination Alias'!$A:$B,2,FALSE()),C721),'Best Months'!$A:$B,2,FALSE()),"Not listed")</f>
        <v>May–Sep</v>
      </c>
    </row>
    <row r="722" spans="1:12" x14ac:dyDescent="0.3">
      <c r="A722" s="2" t="s">
        <v>905</v>
      </c>
      <c r="B722" s="2" t="s">
        <v>241</v>
      </c>
      <c r="C722" s="2" t="s">
        <v>615</v>
      </c>
      <c r="D722" s="3">
        <v>0.40625</v>
      </c>
      <c r="E722" s="3">
        <v>0.53125</v>
      </c>
      <c r="F722" s="2" t="s">
        <v>61</v>
      </c>
      <c r="G722" s="2" t="s">
        <v>20</v>
      </c>
      <c r="H722" s="2">
        <v>4</v>
      </c>
      <c r="I722" s="2" t="s">
        <v>906</v>
      </c>
      <c r="J722" s="2" t="s">
        <v>907</v>
      </c>
      <c r="K722" s="2"/>
      <c r="L722" s="2" t="str">
        <f>IFERROR(VLOOKUP(IFERROR(VLOOKUP(C722,'Destination Alias'!$A:$B,2,FALSE()),C722),'Best Months'!$A:$B,2,FALSE()),"Not listed")</f>
        <v>May–Sep</v>
      </c>
    </row>
    <row r="723" spans="1:12" x14ac:dyDescent="0.3">
      <c r="A723" s="2" t="s">
        <v>905</v>
      </c>
      <c r="B723" s="2" t="s">
        <v>241</v>
      </c>
      <c r="C723" s="2" t="s">
        <v>615</v>
      </c>
      <c r="D723" s="3">
        <v>0.41666666666666702</v>
      </c>
      <c r="E723" s="3">
        <v>0.54166666666666696</v>
      </c>
      <c r="F723" s="2" t="s">
        <v>61</v>
      </c>
      <c r="G723" s="2" t="s">
        <v>20</v>
      </c>
      <c r="H723" s="2">
        <v>3</v>
      </c>
      <c r="I723" s="2" t="s">
        <v>906</v>
      </c>
      <c r="J723" s="2" t="s">
        <v>907</v>
      </c>
      <c r="K723" s="2"/>
      <c r="L723" s="2" t="str">
        <f>IFERROR(VLOOKUP(IFERROR(VLOOKUP(C723,'Destination Alias'!$A:$B,2,FALSE()),C723),'Best Months'!$A:$B,2,FALSE()),"Not listed")</f>
        <v>May–Sep</v>
      </c>
    </row>
    <row r="724" spans="1:12" x14ac:dyDescent="0.3">
      <c r="A724" s="2" t="s">
        <v>905</v>
      </c>
      <c r="B724" s="2" t="s">
        <v>241</v>
      </c>
      <c r="C724" s="2" t="s">
        <v>615</v>
      </c>
      <c r="D724" s="3">
        <v>0.45833333333333298</v>
      </c>
      <c r="E724" s="3">
        <v>0.58333333333333304</v>
      </c>
      <c r="F724" s="2" t="s">
        <v>61</v>
      </c>
      <c r="G724" s="2" t="s">
        <v>220</v>
      </c>
      <c r="H724" s="2">
        <v>3</v>
      </c>
      <c r="I724" s="2" t="s">
        <v>906</v>
      </c>
      <c r="J724" s="2" t="s">
        <v>907</v>
      </c>
      <c r="K724" s="2"/>
      <c r="L724" s="2" t="str">
        <f>IFERROR(VLOOKUP(IFERROR(VLOOKUP(C724,'Destination Alias'!$A:$B,2,FALSE()),C724),'Best Months'!$A:$B,2,FALSE()),"Not listed")</f>
        <v>May–Sep</v>
      </c>
    </row>
    <row r="725" spans="1:12" x14ac:dyDescent="0.3">
      <c r="A725" s="2" t="s">
        <v>905</v>
      </c>
      <c r="B725" s="2" t="s">
        <v>241</v>
      </c>
      <c r="C725" s="2" t="s">
        <v>615</v>
      </c>
      <c r="D725" s="3">
        <v>0.625</v>
      </c>
      <c r="E725" s="3">
        <v>0.75</v>
      </c>
      <c r="F725" s="2" t="s">
        <v>61</v>
      </c>
      <c r="G725" s="2" t="s">
        <v>73</v>
      </c>
      <c r="H725" s="2">
        <v>5</v>
      </c>
      <c r="I725" s="2" t="s">
        <v>906</v>
      </c>
      <c r="J725" s="2" t="s">
        <v>907</v>
      </c>
      <c r="K725" s="2"/>
      <c r="L725" s="2" t="str">
        <f>IFERROR(VLOOKUP(IFERROR(VLOOKUP(C725,'Destination Alias'!$A:$B,2,FALSE()),C725),'Best Months'!$A:$B,2,FALSE()),"Not listed")</f>
        <v>May–Sep</v>
      </c>
    </row>
    <row r="726" spans="1:12" x14ac:dyDescent="0.3">
      <c r="A726" s="2" t="s">
        <v>905</v>
      </c>
      <c r="B726" s="2" t="s">
        <v>241</v>
      </c>
      <c r="C726" s="2" t="s">
        <v>615</v>
      </c>
      <c r="D726" s="3">
        <v>0.29166666666666702</v>
      </c>
      <c r="E726" s="3">
        <v>0.41666666666666702</v>
      </c>
      <c r="F726" s="2" t="s">
        <v>61</v>
      </c>
      <c r="G726" s="2" t="s">
        <v>38</v>
      </c>
      <c r="H726" s="2">
        <v>4</v>
      </c>
      <c r="I726" s="2" t="s">
        <v>906</v>
      </c>
      <c r="J726" s="2" t="s">
        <v>907</v>
      </c>
      <c r="K726" s="2"/>
      <c r="L726" s="2" t="str">
        <f>IFERROR(VLOOKUP(IFERROR(VLOOKUP(C726,'Destination Alias'!$A:$B,2,FALSE()),C726),'Best Months'!$A:$B,2,FALSE()),"Not listed")</f>
        <v>May–Sep</v>
      </c>
    </row>
    <row r="727" spans="1:12" x14ac:dyDescent="0.3">
      <c r="A727" s="2" t="s">
        <v>908</v>
      </c>
      <c r="B727" s="2" t="s">
        <v>81</v>
      </c>
      <c r="C727" s="2" t="s">
        <v>534</v>
      </c>
      <c r="D727" s="3">
        <v>0.27083333333333298</v>
      </c>
      <c r="E727" s="3">
        <v>0.39583333333333298</v>
      </c>
      <c r="F727" s="2" t="s">
        <v>61</v>
      </c>
      <c r="G727" s="2" t="s">
        <v>28</v>
      </c>
      <c r="H727" s="2">
        <v>3</v>
      </c>
      <c r="I727" s="2" t="s">
        <v>909</v>
      </c>
      <c r="J727" s="2" t="s">
        <v>910</v>
      </c>
      <c r="K727" s="2"/>
      <c r="L727" s="2" t="str">
        <f>IFERROR(VLOOKUP(IFERROR(VLOOKUP(C727,'Destination Alias'!$A:$B,2,FALSE()),C727),'Best Months'!$A:$B,2,FALSE()),"Not listed")</f>
        <v>Jan–Mar</v>
      </c>
    </row>
    <row r="728" spans="1:12" x14ac:dyDescent="0.3">
      <c r="A728" s="2" t="s">
        <v>908</v>
      </c>
      <c r="B728" s="2" t="s">
        <v>81</v>
      </c>
      <c r="C728" s="2" t="s">
        <v>534</v>
      </c>
      <c r="D728" s="3">
        <v>0.27083333333333298</v>
      </c>
      <c r="E728" s="3">
        <v>0.39583333333333298</v>
      </c>
      <c r="F728" s="2" t="s">
        <v>61</v>
      </c>
      <c r="G728" s="2" t="s">
        <v>28</v>
      </c>
      <c r="H728" s="2">
        <v>5</v>
      </c>
      <c r="I728" s="2" t="s">
        <v>909</v>
      </c>
      <c r="J728" s="2" t="s">
        <v>910</v>
      </c>
      <c r="K728" s="2"/>
      <c r="L728" s="2" t="str">
        <f>IFERROR(VLOOKUP(IFERROR(VLOOKUP(C728,'Destination Alias'!$A:$B,2,FALSE()),C728),'Best Months'!$A:$B,2,FALSE()),"Not listed")</f>
        <v>Jan–Mar</v>
      </c>
    </row>
    <row r="729" spans="1:12" x14ac:dyDescent="0.3">
      <c r="A729" s="2" t="s">
        <v>908</v>
      </c>
      <c r="B729" s="2" t="s">
        <v>81</v>
      </c>
      <c r="C729" s="2" t="s">
        <v>534</v>
      </c>
      <c r="D729" s="3">
        <v>0.3125</v>
      </c>
      <c r="E729" s="3">
        <v>0.4375</v>
      </c>
      <c r="F729" s="2" t="s">
        <v>61</v>
      </c>
      <c r="G729" s="2" t="s">
        <v>38</v>
      </c>
      <c r="H729" s="2">
        <v>4</v>
      </c>
      <c r="I729" s="2" t="s">
        <v>909</v>
      </c>
      <c r="J729" s="2" t="s">
        <v>910</v>
      </c>
      <c r="K729" s="2"/>
      <c r="L729" s="2" t="str">
        <f>IFERROR(VLOOKUP(IFERROR(VLOOKUP(C729,'Destination Alias'!$A:$B,2,FALSE()),C729),'Best Months'!$A:$B,2,FALSE()),"Not listed")</f>
        <v>Jan–Mar</v>
      </c>
    </row>
    <row r="730" spans="1:12" x14ac:dyDescent="0.3">
      <c r="A730" s="2" t="s">
        <v>908</v>
      </c>
      <c r="B730" s="2" t="s">
        <v>81</v>
      </c>
      <c r="C730" s="2" t="s">
        <v>534</v>
      </c>
      <c r="D730" s="3">
        <v>0.35416666666666702</v>
      </c>
      <c r="E730" s="3">
        <v>0.47916666666666702</v>
      </c>
      <c r="F730" s="2" t="s">
        <v>61</v>
      </c>
      <c r="G730" s="2" t="s">
        <v>16</v>
      </c>
      <c r="H730" s="2">
        <v>5</v>
      </c>
      <c r="I730" s="2" t="s">
        <v>909</v>
      </c>
      <c r="J730" s="2" t="s">
        <v>910</v>
      </c>
      <c r="K730" s="2"/>
      <c r="L730" s="2" t="str">
        <f>IFERROR(VLOOKUP(IFERROR(VLOOKUP(C730,'Destination Alias'!$A:$B,2,FALSE()),C730),'Best Months'!$A:$B,2,FALSE()),"Not listed")</f>
        <v>Jan–Mar</v>
      </c>
    </row>
    <row r="731" spans="1:12" x14ac:dyDescent="0.3">
      <c r="A731" s="2" t="s">
        <v>908</v>
      </c>
      <c r="B731" s="2" t="s">
        <v>81</v>
      </c>
      <c r="C731" s="2" t="s">
        <v>534</v>
      </c>
      <c r="D731" s="3">
        <v>0.375</v>
      </c>
      <c r="E731" s="3">
        <v>0.5</v>
      </c>
      <c r="F731" s="2" t="s">
        <v>61</v>
      </c>
      <c r="G731" s="2" t="s">
        <v>20</v>
      </c>
      <c r="H731" s="2">
        <v>5</v>
      </c>
      <c r="I731" s="2" t="s">
        <v>909</v>
      </c>
      <c r="J731" s="2" t="s">
        <v>910</v>
      </c>
      <c r="K731" s="2"/>
      <c r="L731" s="2" t="str">
        <f>IFERROR(VLOOKUP(IFERROR(VLOOKUP(C731,'Destination Alias'!$A:$B,2,FALSE()),C731),'Best Months'!$A:$B,2,FALSE()),"Not listed")</f>
        <v>Jan–Mar</v>
      </c>
    </row>
    <row r="732" spans="1:12" x14ac:dyDescent="0.3">
      <c r="A732" s="2" t="s">
        <v>908</v>
      </c>
      <c r="B732" s="2" t="s">
        <v>81</v>
      </c>
      <c r="C732" s="2" t="s">
        <v>534</v>
      </c>
      <c r="D732" s="3">
        <v>0.41666666666666702</v>
      </c>
      <c r="E732" s="3">
        <v>0.54166666666666696</v>
      </c>
      <c r="F732" s="2" t="s">
        <v>61</v>
      </c>
      <c r="G732" s="2" t="s">
        <v>20</v>
      </c>
      <c r="H732" s="2">
        <v>5</v>
      </c>
      <c r="I732" s="2" t="s">
        <v>909</v>
      </c>
      <c r="J732" s="2" t="s">
        <v>910</v>
      </c>
      <c r="K732" s="2"/>
      <c r="L732" s="2" t="str">
        <f>IFERROR(VLOOKUP(IFERROR(VLOOKUP(C732,'Destination Alias'!$A:$B,2,FALSE()),C732),'Best Months'!$A:$B,2,FALSE()),"Not listed")</f>
        <v>Jan–Mar</v>
      </c>
    </row>
    <row r="733" spans="1:12" x14ac:dyDescent="0.3">
      <c r="A733" s="2" t="s">
        <v>908</v>
      </c>
      <c r="B733" s="2" t="s">
        <v>81</v>
      </c>
      <c r="C733" s="2" t="s">
        <v>534</v>
      </c>
      <c r="D733" s="3">
        <v>0.4375</v>
      </c>
      <c r="E733" s="3">
        <v>0.5625</v>
      </c>
      <c r="F733" s="2" t="s">
        <v>61</v>
      </c>
      <c r="G733" s="2" t="s">
        <v>20</v>
      </c>
      <c r="H733" s="2">
        <v>4</v>
      </c>
      <c r="I733" s="2" t="s">
        <v>909</v>
      </c>
      <c r="J733" s="2" t="s">
        <v>910</v>
      </c>
      <c r="K733" s="2"/>
      <c r="L733" s="2" t="str">
        <f>IFERROR(VLOOKUP(IFERROR(VLOOKUP(C733,'Destination Alias'!$A:$B,2,FALSE()),C733),'Best Months'!$A:$B,2,FALSE()),"Not listed")</f>
        <v>Jan–Mar</v>
      </c>
    </row>
    <row r="734" spans="1:12" x14ac:dyDescent="0.3">
      <c r="A734" s="2" t="s">
        <v>908</v>
      </c>
      <c r="B734" s="2" t="s">
        <v>81</v>
      </c>
      <c r="C734" s="2" t="s">
        <v>534</v>
      </c>
      <c r="D734" s="3">
        <v>0.45833333333333298</v>
      </c>
      <c r="E734" s="3">
        <v>0.58333333333333304</v>
      </c>
      <c r="F734" s="2" t="s">
        <v>61</v>
      </c>
      <c r="G734" s="2" t="s">
        <v>220</v>
      </c>
      <c r="H734" s="2">
        <v>5</v>
      </c>
      <c r="I734" s="2" t="s">
        <v>909</v>
      </c>
      <c r="J734" s="2" t="s">
        <v>910</v>
      </c>
      <c r="K734" s="2"/>
      <c r="L734" s="2" t="str">
        <f>IFERROR(VLOOKUP(IFERROR(VLOOKUP(C734,'Destination Alias'!$A:$B,2,FALSE()),C734),'Best Months'!$A:$B,2,FALSE()),"Not listed")</f>
        <v>Jan–Mar</v>
      </c>
    </row>
    <row r="735" spans="1:12" x14ac:dyDescent="0.3">
      <c r="A735" s="2" t="s">
        <v>908</v>
      </c>
      <c r="B735" s="2" t="s">
        <v>81</v>
      </c>
      <c r="C735" s="2" t="s">
        <v>534</v>
      </c>
      <c r="D735" s="3">
        <v>0.5</v>
      </c>
      <c r="E735" s="3">
        <v>0.625</v>
      </c>
      <c r="F735" s="2" t="s">
        <v>61</v>
      </c>
      <c r="G735" s="2" t="s">
        <v>220</v>
      </c>
      <c r="H735" s="2">
        <v>5</v>
      </c>
      <c r="I735" s="2" t="s">
        <v>909</v>
      </c>
      <c r="J735" s="2" t="s">
        <v>910</v>
      </c>
      <c r="K735" s="2"/>
      <c r="L735" s="2" t="str">
        <f>IFERROR(VLOOKUP(IFERROR(VLOOKUP(C735,'Destination Alias'!$A:$B,2,FALSE()),C735),'Best Months'!$A:$B,2,FALSE()),"Not listed")</f>
        <v>Jan–Mar</v>
      </c>
    </row>
    <row r="736" spans="1:12" x14ac:dyDescent="0.3">
      <c r="A736" s="2" t="s">
        <v>908</v>
      </c>
      <c r="B736" s="2" t="s">
        <v>81</v>
      </c>
      <c r="C736" s="2" t="s">
        <v>534</v>
      </c>
      <c r="D736" s="3">
        <v>0.54166666666666696</v>
      </c>
      <c r="E736" s="3">
        <v>0.66666666666666696</v>
      </c>
      <c r="F736" s="2" t="s">
        <v>61</v>
      </c>
      <c r="G736" s="2" t="s">
        <v>199</v>
      </c>
      <c r="H736" s="2">
        <v>4</v>
      </c>
      <c r="I736" s="2" t="s">
        <v>909</v>
      </c>
      <c r="J736" s="2" t="s">
        <v>910</v>
      </c>
      <c r="K736" s="2"/>
      <c r="L736" s="2" t="str">
        <f>IFERROR(VLOOKUP(IFERROR(VLOOKUP(C736,'Destination Alias'!$A:$B,2,FALSE()),C736),'Best Months'!$A:$B,2,FALSE()),"Not listed")</f>
        <v>Jan–Mar</v>
      </c>
    </row>
    <row r="737" spans="1:19" x14ac:dyDescent="0.3">
      <c r="A737" s="2" t="s">
        <v>908</v>
      </c>
      <c r="B737" s="2" t="s">
        <v>81</v>
      </c>
      <c r="C737" s="2" t="s">
        <v>534</v>
      </c>
      <c r="D737" s="3">
        <v>0.58333333333333304</v>
      </c>
      <c r="E737" s="3">
        <v>0.70833333333333304</v>
      </c>
      <c r="F737" s="2" t="s">
        <v>61</v>
      </c>
      <c r="G737" s="2" t="s">
        <v>199</v>
      </c>
      <c r="H737" s="2">
        <v>1</v>
      </c>
      <c r="I737" s="2" t="s">
        <v>909</v>
      </c>
      <c r="J737" s="2" t="s">
        <v>910</v>
      </c>
      <c r="K737" s="2"/>
      <c r="L737" s="2" t="str">
        <f>IFERROR(VLOOKUP(IFERROR(VLOOKUP(C737,'Destination Alias'!$A:$B,2,FALSE()),C737),'Best Months'!$A:$B,2,FALSE()),"Not listed")</f>
        <v>Jan–Mar</v>
      </c>
    </row>
    <row r="738" spans="1:19" x14ac:dyDescent="0.3">
      <c r="A738" s="2" t="s">
        <v>908</v>
      </c>
      <c r="B738" s="2" t="s">
        <v>81</v>
      </c>
      <c r="C738" s="2" t="s">
        <v>534</v>
      </c>
      <c r="D738" s="3">
        <v>0.625</v>
      </c>
      <c r="E738" s="3">
        <v>0.75</v>
      </c>
      <c r="F738" s="2" t="s">
        <v>61</v>
      </c>
      <c r="G738" s="2" t="s">
        <v>73</v>
      </c>
      <c r="H738" s="2">
        <v>5</v>
      </c>
      <c r="I738" s="2" t="s">
        <v>909</v>
      </c>
      <c r="J738" s="2" t="s">
        <v>910</v>
      </c>
      <c r="K738" s="2"/>
      <c r="L738" s="2" t="str">
        <f>IFERROR(VLOOKUP(IFERROR(VLOOKUP(C738,'Destination Alias'!$A:$B,2,FALSE()),C738),'Best Months'!$A:$B,2,FALSE()),"Not listed")</f>
        <v>Jan–Mar</v>
      </c>
    </row>
    <row r="739" spans="1:19" x14ac:dyDescent="0.3">
      <c r="A739" s="2" t="s">
        <v>908</v>
      </c>
      <c r="B739" s="2" t="s">
        <v>81</v>
      </c>
      <c r="C739" s="2" t="s">
        <v>534</v>
      </c>
      <c r="D739" s="3">
        <v>0.625</v>
      </c>
      <c r="E739" s="3">
        <v>0.75</v>
      </c>
      <c r="F739" s="2" t="s">
        <v>61</v>
      </c>
      <c r="G739" s="2" t="s">
        <v>73</v>
      </c>
      <c r="H739" s="2">
        <v>5</v>
      </c>
      <c r="I739" s="2" t="s">
        <v>909</v>
      </c>
      <c r="J739" s="2" t="s">
        <v>910</v>
      </c>
      <c r="K739" s="2"/>
      <c r="L739" s="2" t="str">
        <f>IFERROR(VLOOKUP(IFERROR(VLOOKUP(C739,'Destination Alias'!$A:$B,2,FALSE()),C739),'Best Months'!$A:$B,2,FALSE()),"Not listed")</f>
        <v>Jan–Mar</v>
      </c>
    </row>
    <row r="740" spans="1:19" x14ac:dyDescent="0.3">
      <c r="A740" s="2" t="s">
        <v>908</v>
      </c>
      <c r="B740" s="2" t="s">
        <v>81</v>
      </c>
      <c r="C740" s="2" t="s">
        <v>534</v>
      </c>
      <c r="D740" s="3">
        <v>0.66666666666666696</v>
      </c>
      <c r="E740" s="3">
        <v>0.79166666666666696</v>
      </c>
      <c r="F740" s="2" t="s">
        <v>61</v>
      </c>
      <c r="G740" s="2" t="s">
        <v>73</v>
      </c>
      <c r="H740" s="2">
        <v>4</v>
      </c>
      <c r="I740" s="2" t="s">
        <v>909</v>
      </c>
      <c r="J740" s="2" t="s">
        <v>910</v>
      </c>
      <c r="K740" s="2"/>
      <c r="L740" s="2" t="str">
        <f>IFERROR(VLOOKUP(IFERROR(VLOOKUP(C740,'Destination Alias'!$A:$B,2,FALSE()),C740),'Best Months'!$A:$B,2,FALSE()),"Not listed")</f>
        <v>Jan–Mar</v>
      </c>
    </row>
    <row r="741" spans="1:19" x14ac:dyDescent="0.3">
      <c r="A741" s="2" t="s">
        <v>908</v>
      </c>
      <c r="B741" s="2" t="s">
        <v>81</v>
      </c>
      <c r="C741" s="2" t="s">
        <v>534</v>
      </c>
      <c r="D741" s="3">
        <v>0.375</v>
      </c>
      <c r="E741" s="3">
        <v>0.5</v>
      </c>
      <c r="F741" s="2" t="s">
        <v>61</v>
      </c>
      <c r="G741" s="2" t="s">
        <v>20</v>
      </c>
      <c r="H741" s="2">
        <v>3.9</v>
      </c>
      <c r="I741" s="2" t="s">
        <v>909</v>
      </c>
      <c r="J741" s="2" t="s">
        <v>910</v>
      </c>
      <c r="K741" s="2"/>
      <c r="L741" s="2" t="str">
        <f>IFERROR(VLOOKUP(IFERROR(VLOOKUP(C741,'Destination Alias'!$A:$B,2,FALSE()),C741),'Best Months'!$A:$B,2,FALSE()),"Not listed")</f>
        <v>Jan–Mar</v>
      </c>
    </row>
    <row r="742" spans="1:19" x14ac:dyDescent="0.3">
      <c r="A742" s="2" t="s">
        <v>911</v>
      </c>
      <c r="B742" s="2" t="s">
        <v>13</v>
      </c>
      <c r="C742" s="2" t="s">
        <v>108</v>
      </c>
      <c r="D742" s="3">
        <v>0.33333333333333298</v>
      </c>
      <c r="E742" s="3">
        <v>0.41666666666666702</v>
      </c>
      <c r="F742" s="2" t="s">
        <v>51</v>
      </c>
      <c r="G742" s="2" t="s">
        <v>16</v>
      </c>
      <c r="H742" s="2">
        <v>4.3</v>
      </c>
      <c r="I742" s="2" t="s">
        <v>912</v>
      </c>
      <c r="J742" s="2" t="s">
        <v>913</v>
      </c>
      <c r="K742" s="4" t="s">
        <v>914</v>
      </c>
      <c r="L742" s="2" t="str">
        <f>IFERROR(VLOOKUP(IFERROR(VLOOKUP(C742,'Destination Alias'!$A:$B,2,FALSE()),C742),'Best Months'!$A:$B,2,FALSE()),"Not listed")</f>
        <v>Jan–Mar, Jul–Aug</v>
      </c>
      <c r="S742" t="s">
        <v>914</v>
      </c>
    </row>
    <row r="743" spans="1:19" x14ac:dyDescent="0.3">
      <c r="A743" s="2" t="s">
        <v>915</v>
      </c>
      <c r="B743" s="2" t="s">
        <v>22</v>
      </c>
      <c r="C743" s="2" t="s">
        <v>27</v>
      </c>
      <c r="D743" s="3">
        <v>0.27083333333333298</v>
      </c>
      <c r="E743" s="3">
        <v>0.35416666666666702</v>
      </c>
      <c r="F743" s="2" t="s">
        <v>51</v>
      </c>
      <c r="G743" s="2" t="s">
        <v>28</v>
      </c>
      <c r="H743" s="2">
        <v>4.4000000000000004</v>
      </c>
      <c r="I743" s="2" t="s">
        <v>916</v>
      </c>
      <c r="J743" s="2" t="s">
        <v>917</v>
      </c>
      <c r="K743" s="2"/>
      <c r="L743" s="2" t="str">
        <f>IFERROR(VLOOKUP(IFERROR(VLOOKUP(C743,'Destination Alias'!$A:$B,2,FALSE()),C743),'Best Months'!$A:$B,2,FALSE()),"Not listed")</f>
        <v>May–Sep</v>
      </c>
    </row>
    <row r="744" spans="1:19" x14ac:dyDescent="0.3">
      <c r="A744" s="2" t="s">
        <v>918</v>
      </c>
      <c r="B744" s="2" t="s">
        <v>13</v>
      </c>
      <c r="C744" s="2" t="s">
        <v>250</v>
      </c>
      <c r="D744" s="3">
        <v>0.25</v>
      </c>
      <c r="E744" s="3">
        <v>0.33333333333333298</v>
      </c>
      <c r="F744" s="2" t="s">
        <v>51</v>
      </c>
      <c r="G744" s="2" t="s">
        <v>28</v>
      </c>
      <c r="H744" s="2">
        <v>4.0999999999999996</v>
      </c>
      <c r="I744" s="2" t="s">
        <v>919</v>
      </c>
      <c r="J744" s="2" t="s">
        <v>920</v>
      </c>
      <c r="K744" s="2"/>
      <c r="L744" s="2" t="str">
        <f>IFERROR(VLOOKUP(IFERROR(VLOOKUP(C744,'Destination Alias'!$A:$B,2,FALSE()),C744),'Best Months'!$A:$B,2,FALSE()),"Not listed")</f>
        <v>Feb–Sep</v>
      </c>
    </row>
    <row r="745" spans="1:19" x14ac:dyDescent="0.3">
      <c r="A745" s="2" t="s">
        <v>921</v>
      </c>
      <c r="B745" s="2" t="s">
        <v>13</v>
      </c>
      <c r="C745" s="2" t="s">
        <v>40</v>
      </c>
      <c r="D745" s="3">
        <v>0.27083333333333298</v>
      </c>
      <c r="E745" s="3">
        <v>0.3125</v>
      </c>
      <c r="F745" s="2" t="s">
        <v>35</v>
      </c>
      <c r="G745" s="2" t="s">
        <v>28</v>
      </c>
      <c r="H745" s="2">
        <v>4.0999999999999996</v>
      </c>
      <c r="I745" s="2" t="s">
        <v>922</v>
      </c>
      <c r="J745" s="2" t="s">
        <v>923</v>
      </c>
      <c r="K745" s="4" t="s">
        <v>924</v>
      </c>
      <c r="L745" s="2" t="str">
        <f>IFERROR(VLOOKUP(IFERROR(VLOOKUP(C745,'Destination Alias'!$A:$B,2,FALSE()),C745),'Best Months'!$A:$B,2,FALSE()),"Not listed")</f>
        <v>Jan–Mar, Jul–Aug</v>
      </c>
      <c r="S745" t="s">
        <v>924</v>
      </c>
    </row>
    <row r="746" spans="1:19" x14ac:dyDescent="0.3">
      <c r="A746" s="2" t="s">
        <v>921</v>
      </c>
      <c r="B746" s="2" t="s">
        <v>13</v>
      </c>
      <c r="C746" s="2" t="s">
        <v>40</v>
      </c>
      <c r="D746" s="3">
        <v>0.3125</v>
      </c>
      <c r="E746" s="3">
        <v>0.35416666666666702</v>
      </c>
      <c r="F746" s="2" t="s">
        <v>35</v>
      </c>
      <c r="G746" s="2" t="s">
        <v>38</v>
      </c>
      <c r="H746" s="2">
        <v>4.0999999999999996</v>
      </c>
      <c r="I746" s="2" t="s">
        <v>922</v>
      </c>
      <c r="J746" s="2" t="s">
        <v>923</v>
      </c>
      <c r="K746" s="4" t="s">
        <v>924</v>
      </c>
      <c r="L746" s="2" t="str">
        <f>IFERROR(VLOOKUP(IFERROR(VLOOKUP(C746,'Destination Alias'!$A:$B,2,FALSE()),C746),'Best Months'!$A:$B,2,FALSE()),"Not listed")</f>
        <v>Jan–Mar, Jul–Aug</v>
      </c>
      <c r="S746" t="s">
        <v>924</v>
      </c>
    </row>
    <row r="747" spans="1:19" x14ac:dyDescent="0.3">
      <c r="A747" s="2" t="s">
        <v>921</v>
      </c>
      <c r="B747" s="2" t="s">
        <v>13</v>
      </c>
      <c r="C747" s="2" t="s">
        <v>40</v>
      </c>
      <c r="D747" s="3">
        <v>0.35416666666666702</v>
      </c>
      <c r="E747" s="3">
        <v>0.39583333333333298</v>
      </c>
      <c r="F747" s="2" t="s">
        <v>35</v>
      </c>
      <c r="G747" s="2" t="s">
        <v>16</v>
      </c>
      <c r="H747" s="2">
        <v>4.0999999999999996</v>
      </c>
      <c r="I747" s="2" t="s">
        <v>922</v>
      </c>
      <c r="J747" s="2" t="s">
        <v>923</v>
      </c>
      <c r="K747" s="4" t="s">
        <v>924</v>
      </c>
      <c r="L747" s="2" t="str">
        <f>IFERROR(VLOOKUP(IFERROR(VLOOKUP(C747,'Destination Alias'!$A:$B,2,FALSE()),C747),'Best Months'!$A:$B,2,FALSE()),"Not listed")</f>
        <v>Jan–Mar, Jul–Aug</v>
      </c>
      <c r="S747" t="s">
        <v>924</v>
      </c>
    </row>
    <row r="748" spans="1:19" x14ac:dyDescent="0.3">
      <c r="A748" s="2" t="s">
        <v>925</v>
      </c>
      <c r="B748" s="2" t="s">
        <v>22</v>
      </c>
      <c r="C748" s="2" t="s">
        <v>137</v>
      </c>
      <c r="D748" s="3">
        <v>0.29166666666666702</v>
      </c>
      <c r="E748" s="3">
        <v>0.32291666666666702</v>
      </c>
      <c r="F748" s="2" t="s">
        <v>90</v>
      </c>
      <c r="G748" s="2" t="s">
        <v>38</v>
      </c>
      <c r="H748" s="2">
        <v>4.5999999999999996</v>
      </c>
      <c r="I748" s="2" t="s">
        <v>926</v>
      </c>
      <c r="J748" s="2" t="s">
        <v>927</v>
      </c>
      <c r="K748" s="4" t="s">
        <v>928</v>
      </c>
      <c r="L748" s="2" t="str">
        <f>IFERROR(VLOOKUP(IFERROR(VLOOKUP(C748,'Destination Alias'!$A:$B,2,FALSE()),C748),'Best Months'!$A:$B,2,FALSE()),"Not listed")</f>
        <v>Jan–Mar</v>
      </c>
      <c r="S748" t="s">
        <v>928</v>
      </c>
    </row>
    <row r="749" spans="1:19" x14ac:dyDescent="0.3">
      <c r="A749" s="2" t="s">
        <v>925</v>
      </c>
      <c r="B749" s="2" t="s">
        <v>22</v>
      </c>
      <c r="C749" s="2" t="s">
        <v>137</v>
      </c>
      <c r="D749" s="3">
        <v>0.32291666666666702</v>
      </c>
      <c r="E749" s="3">
        <v>0.35416666666666702</v>
      </c>
      <c r="F749" s="2" t="s">
        <v>90</v>
      </c>
      <c r="G749" s="2" t="s">
        <v>38</v>
      </c>
      <c r="H749" s="2">
        <v>4.5999999999999996</v>
      </c>
      <c r="I749" s="2" t="s">
        <v>926</v>
      </c>
      <c r="J749" s="2" t="s">
        <v>927</v>
      </c>
      <c r="K749" s="4" t="s">
        <v>928</v>
      </c>
      <c r="L749" s="2" t="str">
        <f>IFERROR(VLOOKUP(IFERROR(VLOOKUP(C749,'Destination Alias'!$A:$B,2,FALSE()),C749),'Best Months'!$A:$B,2,FALSE()),"Not listed")</f>
        <v>Jan–Mar</v>
      </c>
      <c r="S749" t="s">
        <v>928</v>
      </c>
    </row>
    <row r="750" spans="1:19" x14ac:dyDescent="0.3">
      <c r="A750" s="2" t="s">
        <v>925</v>
      </c>
      <c r="B750" s="2" t="s">
        <v>22</v>
      </c>
      <c r="C750" s="2" t="s">
        <v>137</v>
      </c>
      <c r="D750" s="3">
        <v>0.35416666666666702</v>
      </c>
      <c r="E750" s="3">
        <v>0.38541666666666702</v>
      </c>
      <c r="F750" s="2" t="s">
        <v>90</v>
      </c>
      <c r="G750" s="2" t="s">
        <v>16</v>
      </c>
      <c r="H750" s="2">
        <v>4.5999999999999996</v>
      </c>
      <c r="I750" s="2" t="s">
        <v>926</v>
      </c>
      <c r="J750" s="2" t="s">
        <v>927</v>
      </c>
      <c r="K750" s="4" t="s">
        <v>928</v>
      </c>
      <c r="L750" s="2" t="str">
        <f>IFERROR(VLOOKUP(IFERROR(VLOOKUP(C750,'Destination Alias'!$A:$B,2,FALSE()),C750),'Best Months'!$A:$B,2,FALSE()),"Not listed")</f>
        <v>Jan–Mar</v>
      </c>
      <c r="S750" t="s">
        <v>928</v>
      </c>
    </row>
    <row r="751" spans="1:19" x14ac:dyDescent="0.3">
      <c r="A751" s="2" t="s">
        <v>925</v>
      </c>
      <c r="B751" s="2" t="s">
        <v>22</v>
      </c>
      <c r="C751" s="2" t="s">
        <v>137</v>
      </c>
      <c r="D751" s="3">
        <v>0.38541666666666702</v>
      </c>
      <c r="E751" s="3">
        <v>0.41666666666666702</v>
      </c>
      <c r="F751" s="2" t="s">
        <v>90</v>
      </c>
      <c r="G751" s="2" t="s">
        <v>20</v>
      </c>
      <c r="H751" s="2">
        <v>4.5999999999999996</v>
      </c>
      <c r="I751" s="2" t="s">
        <v>926</v>
      </c>
      <c r="J751" s="2" t="s">
        <v>927</v>
      </c>
      <c r="K751" s="4" t="s">
        <v>928</v>
      </c>
      <c r="L751" s="2" t="str">
        <f>IFERROR(VLOOKUP(IFERROR(VLOOKUP(C751,'Destination Alias'!$A:$B,2,FALSE()),C751),'Best Months'!$A:$B,2,FALSE()),"Not listed")</f>
        <v>Jan–Mar</v>
      </c>
      <c r="S751" t="s">
        <v>928</v>
      </c>
    </row>
    <row r="752" spans="1:19" x14ac:dyDescent="0.3">
      <c r="A752" s="2" t="s">
        <v>929</v>
      </c>
      <c r="B752" s="2" t="s">
        <v>13</v>
      </c>
      <c r="C752" s="2" t="s">
        <v>40</v>
      </c>
      <c r="D752" s="3">
        <v>0.25</v>
      </c>
      <c r="E752" s="3">
        <v>0.375</v>
      </c>
      <c r="F752" s="2" t="s">
        <v>61</v>
      </c>
      <c r="G752" s="2" t="s">
        <v>28</v>
      </c>
      <c r="H752" s="2">
        <v>4.4000000000000004</v>
      </c>
      <c r="I752" s="2" t="s">
        <v>930</v>
      </c>
      <c r="J752" s="2" t="s">
        <v>931</v>
      </c>
      <c r="K752" s="4" t="s">
        <v>932</v>
      </c>
      <c r="L752" s="2" t="str">
        <f>IFERROR(VLOOKUP(IFERROR(VLOOKUP(C752,'Destination Alias'!$A:$B,2,FALSE()),C752),'Best Months'!$A:$B,2,FALSE()),"Not listed")</f>
        <v>Jan–Mar, Jul–Aug</v>
      </c>
      <c r="S752" t="s">
        <v>932</v>
      </c>
    </row>
    <row r="753" spans="1:19" x14ac:dyDescent="0.3">
      <c r="A753" s="2" t="s">
        <v>933</v>
      </c>
      <c r="B753" s="2" t="s">
        <v>49</v>
      </c>
      <c r="C753" s="2" t="s">
        <v>108</v>
      </c>
      <c r="D753" s="3">
        <v>0.375</v>
      </c>
      <c r="E753" s="3">
        <v>0.4375</v>
      </c>
      <c r="F753" s="2" t="s">
        <v>15</v>
      </c>
      <c r="G753" s="2" t="s">
        <v>20</v>
      </c>
      <c r="H753" s="2">
        <v>4.5</v>
      </c>
      <c r="I753" s="2" t="s">
        <v>934</v>
      </c>
      <c r="J753" s="2" t="s">
        <v>935</v>
      </c>
      <c r="K753" s="4" t="s">
        <v>936</v>
      </c>
      <c r="L753" s="2" t="str">
        <f>IFERROR(VLOOKUP(IFERROR(VLOOKUP(C753,'Destination Alias'!$A:$B,2,FALSE()),C753),'Best Months'!$A:$B,2,FALSE()),"Not listed")</f>
        <v>Jan–Mar, Jul–Aug</v>
      </c>
      <c r="S753" t="s">
        <v>936</v>
      </c>
    </row>
    <row r="754" spans="1:19" x14ac:dyDescent="0.3">
      <c r="A754" s="2" t="s">
        <v>933</v>
      </c>
      <c r="B754" s="2" t="s">
        <v>49</v>
      </c>
      <c r="C754" s="2" t="s">
        <v>108</v>
      </c>
      <c r="D754" s="3">
        <v>0.4375</v>
      </c>
      <c r="E754" s="3">
        <v>0.5</v>
      </c>
      <c r="F754" s="2" t="s">
        <v>15</v>
      </c>
      <c r="G754" s="2" t="s">
        <v>20</v>
      </c>
      <c r="H754" s="2">
        <v>4.5</v>
      </c>
      <c r="I754" s="2" t="s">
        <v>934</v>
      </c>
      <c r="J754" s="2" t="s">
        <v>935</v>
      </c>
      <c r="K754" s="4" t="s">
        <v>936</v>
      </c>
      <c r="L754" s="2" t="str">
        <f>IFERROR(VLOOKUP(IFERROR(VLOOKUP(C754,'Destination Alias'!$A:$B,2,FALSE()),C754),'Best Months'!$A:$B,2,FALSE()),"Not listed")</f>
        <v>Jan–Mar, Jul–Aug</v>
      </c>
      <c r="S754" t="s">
        <v>936</v>
      </c>
    </row>
    <row r="755" spans="1:19" x14ac:dyDescent="0.3">
      <c r="A755" s="2" t="s">
        <v>937</v>
      </c>
      <c r="B755" s="2" t="s">
        <v>22</v>
      </c>
      <c r="C755" s="2" t="s">
        <v>50</v>
      </c>
      <c r="D755" s="3">
        <v>0.33333333333333298</v>
      </c>
      <c r="E755" s="3">
        <v>0.34722222222222199</v>
      </c>
      <c r="F755" s="2" t="s">
        <v>396</v>
      </c>
      <c r="G755" s="2" t="s">
        <v>16</v>
      </c>
      <c r="H755" s="2">
        <v>4.5999999999999996</v>
      </c>
      <c r="I755" s="2" t="s">
        <v>938</v>
      </c>
      <c r="J755" s="2" t="s">
        <v>939</v>
      </c>
      <c r="K755" s="4" t="s">
        <v>940</v>
      </c>
      <c r="L755" s="2" t="str">
        <f>IFERROR(VLOOKUP(IFERROR(VLOOKUP(C755,'Destination Alias'!$A:$B,2,FALSE()),C755),'Best Months'!$A:$B,2,FALSE()),"Not listed")</f>
        <v>Dec–Mar</v>
      </c>
      <c r="S755" t="s">
        <v>940</v>
      </c>
    </row>
    <row r="756" spans="1:19" x14ac:dyDescent="0.3">
      <c r="A756" s="2" t="s">
        <v>937</v>
      </c>
      <c r="B756" s="2" t="s">
        <v>22</v>
      </c>
      <c r="C756" s="2" t="s">
        <v>50</v>
      </c>
      <c r="D756" s="3">
        <v>0.34722222222222199</v>
      </c>
      <c r="E756" s="3">
        <v>0.36111111111111099</v>
      </c>
      <c r="F756" s="2" t="s">
        <v>396</v>
      </c>
      <c r="G756" s="2" t="s">
        <v>16</v>
      </c>
      <c r="H756" s="2">
        <v>4.5999999999999996</v>
      </c>
      <c r="I756" s="2" t="s">
        <v>938</v>
      </c>
      <c r="J756" s="2" t="s">
        <v>939</v>
      </c>
      <c r="K756" s="4" t="s">
        <v>940</v>
      </c>
      <c r="L756" s="2" t="str">
        <f>IFERROR(VLOOKUP(IFERROR(VLOOKUP(C756,'Destination Alias'!$A:$B,2,FALSE()),C756),'Best Months'!$A:$B,2,FALSE()),"Not listed")</f>
        <v>Dec–Mar</v>
      </c>
      <c r="S756" t="s">
        <v>940</v>
      </c>
    </row>
    <row r="757" spans="1:19" x14ac:dyDescent="0.3">
      <c r="A757" s="2" t="s">
        <v>937</v>
      </c>
      <c r="B757" s="2" t="s">
        <v>22</v>
      </c>
      <c r="C757" s="2" t="s">
        <v>50</v>
      </c>
      <c r="D757" s="3">
        <v>0.36111111111111099</v>
      </c>
      <c r="E757" s="3">
        <v>0.375</v>
      </c>
      <c r="F757" s="2" t="s">
        <v>396</v>
      </c>
      <c r="G757" s="2" t="s">
        <v>16</v>
      </c>
      <c r="H757" s="2">
        <v>4.5999999999999996</v>
      </c>
      <c r="I757" s="2" t="s">
        <v>938</v>
      </c>
      <c r="J757" s="2" t="s">
        <v>939</v>
      </c>
      <c r="K757" s="4" t="s">
        <v>940</v>
      </c>
      <c r="L757" s="2" t="str">
        <f>IFERROR(VLOOKUP(IFERROR(VLOOKUP(C757,'Destination Alias'!$A:$B,2,FALSE()),C757),'Best Months'!$A:$B,2,FALSE()),"Not listed")</f>
        <v>Dec–Mar</v>
      </c>
      <c r="S757" t="s">
        <v>940</v>
      </c>
    </row>
    <row r="758" spans="1:19" x14ac:dyDescent="0.3">
      <c r="A758" s="2" t="s">
        <v>937</v>
      </c>
      <c r="B758" s="2" t="s">
        <v>22</v>
      </c>
      <c r="C758" s="2" t="s">
        <v>50</v>
      </c>
      <c r="D758" s="3">
        <v>0.375</v>
      </c>
      <c r="E758" s="3">
        <v>0.38888888888888901</v>
      </c>
      <c r="F758" s="2" t="s">
        <v>396</v>
      </c>
      <c r="G758" s="2" t="s">
        <v>20</v>
      </c>
      <c r="H758" s="2">
        <v>4.5999999999999996</v>
      </c>
      <c r="I758" s="2" t="s">
        <v>938</v>
      </c>
      <c r="J758" s="2" t="s">
        <v>939</v>
      </c>
      <c r="K758" s="4" t="s">
        <v>940</v>
      </c>
      <c r="L758" s="2" t="str">
        <f>IFERROR(VLOOKUP(IFERROR(VLOOKUP(C758,'Destination Alias'!$A:$B,2,FALSE()),C758),'Best Months'!$A:$B,2,FALSE()),"Not listed")</f>
        <v>Dec–Mar</v>
      </c>
      <c r="S758" t="s">
        <v>940</v>
      </c>
    </row>
    <row r="759" spans="1:19" x14ac:dyDescent="0.3">
      <c r="A759" s="2" t="s">
        <v>937</v>
      </c>
      <c r="B759" s="2" t="s">
        <v>22</v>
      </c>
      <c r="C759" s="2" t="s">
        <v>50</v>
      </c>
      <c r="D759" s="3">
        <v>0.38888888888888901</v>
      </c>
      <c r="E759" s="3">
        <v>0.40277777777777801</v>
      </c>
      <c r="F759" s="2" t="s">
        <v>396</v>
      </c>
      <c r="G759" s="2" t="s">
        <v>20</v>
      </c>
      <c r="H759" s="2">
        <v>4.5999999999999996</v>
      </c>
      <c r="I759" s="2" t="s">
        <v>938</v>
      </c>
      <c r="J759" s="2" t="s">
        <v>939</v>
      </c>
      <c r="K759" s="4" t="s">
        <v>940</v>
      </c>
      <c r="L759" s="2" t="str">
        <f>IFERROR(VLOOKUP(IFERROR(VLOOKUP(C759,'Destination Alias'!$A:$B,2,FALSE()),C759),'Best Months'!$A:$B,2,FALSE()),"Not listed")</f>
        <v>Dec–Mar</v>
      </c>
      <c r="S759" t="s">
        <v>940</v>
      </c>
    </row>
    <row r="760" spans="1:19" x14ac:dyDescent="0.3">
      <c r="A760" s="2" t="s">
        <v>937</v>
      </c>
      <c r="B760" s="2" t="s">
        <v>22</v>
      </c>
      <c r="C760" s="2" t="s">
        <v>50</v>
      </c>
      <c r="D760" s="3">
        <v>0.40277777777777801</v>
      </c>
      <c r="E760" s="3">
        <v>0.41666666666666702</v>
      </c>
      <c r="F760" s="2" t="s">
        <v>396</v>
      </c>
      <c r="G760" s="2" t="s">
        <v>20</v>
      </c>
      <c r="H760" s="2">
        <v>4.5999999999999996</v>
      </c>
      <c r="I760" s="2" t="s">
        <v>938</v>
      </c>
      <c r="J760" s="2" t="s">
        <v>939</v>
      </c>
      <c r="K760" s="4" t="s">
        <v>940</v>
      </c>
      <c r="L760" s="2" t="str">
        <f>IFERROR(VLOOKUP(IFERROR(VLOOKUP(C760,'Destination Alias'!$A:$B,2,FALSE()),C760),'Best Months'!$A:$B,2,FALSE()),"Not listed")</f>
        <v>Dec–Mar</v>
      </c>
      <c r="S760" t="s">
        <v>940</v>
      </c>
    </row>
    <row r="761" spans="1:19" x14ac:dyDescent="0.3">
      <c r="A761" s="2" t="s">
        <v>941</v>
      </c>
      <c r="B761" s="2" t="s">
        <v>13</v>
      </c>
      <c r="C761" s="2" t="s">
        <v>108</v>
      </c>
      <c r="D761" s="3">
        <v>0.33333333333333298</v>
      </c>
      <c r="E761" s="3">
        <v>0.39583333333333298</v>
      </c>
      <c r="F761" s="2" t="s">
        <v>15</v>
      </c>
      <c r="G761" s="2" t="s">
        <v>16</v>
      </c>
      <c r="H761" s="2">
        <v>4</v>
      </c>
      <c r="I761" s="2" t="s">
        <v>604</v>
      </c>
      <c r="J761" s="2" t="s">
        <v>942</v>
      </c>
      <c r="K761" s="4" t="s">
        <v>943</v>
      </c>
      <c r="L761" s="2" t="str">
        <f>IFERROR(VLOOKUP(IFERROR(VLOOKUP(C761,'Destination Alias'!$A:$B,2,FALSE()),C761),'Best Months'!$A:$B,2,FALSE()),"Not listed")</f>
        <v>Jan–Mar, Jul–Aug</v>
      </c>
      <c r="S761" t="s">
        <v>943</v>
      </c>
    </row>
    <row r="762" spans="1:19" x14ac:dyDescent="0.3">
      <c r="A762" s="2" t="s">
        <v>941</v>
      </c>
      <c r="B762" s="2" t="s">
        <v>13</v>
      </c>
      <c r="C762" s="2" t="s">
        <v>108</v>
      </c>
      <c r="D762" s="3">
        <v>0.39583333333333298</v>
      </c>
      <c r="E762" s="3">
        <v>0.45833333333333298</v>
      </c>
      <c r="F762" s="2" t="s">
        <v>15</v>
      </c>
      <c r="G762" s="2" t="s">
        <v>20</v>
      </c>
      <c r="H762" s="2">
        <v>4</v>
      </c>
      <c r="I762" s="2" t="s">
        <v>604</v>
      </c>
      <c r="J762" s="2" t="s">
        <v>942</v>
      </c>
      <c r="K762" s="4" t="s">
        <v>943</v>
      </c>
      <c r="L762" s="2" t="str">
        <f>IFERROR(VLOOKUP(IFERROR(VLOOKUP(C762,'Destination Alias'!$A:$B,2,FALSE()),C762),'Best Months'!$A:$B,2,FALSE()),"Not listed")</f>
        <v>Jan–Mar, Jul–Aug</v>
      </c>
      <c r="S762" t="s">
        <v>943</v>
      </c>
    </row>
    <row r="763" spans="1:19" x14ac:dyDescent="0.3">
      <c r="A763" s="2" t="s">
        <v>944</v>
      </c>
      <c r="B763" s="2" t="s">
        <v>49</v>
      </c>
      <c r="C763" s="2" t="s">
        <v>65</v>
      </c>
      <c r="D763" s="3">
        <v>0.27083333333333298</v>
      </c>
      <c r="E763" s="3">
        <v>0.47916666666666702</v>
      </c>
      <c r="F763" s="2" t="s">
        <v>546</v>
      </c>
      <c r="G763" s="2" t="s">
        <v>28</v>
      </c>
      <c r="H763" s="2">
        <v>4.4000000000000004</v>
      </c>
      <c r="I763" s="2" t="s">
        <v>945</v>
      </c>
      <c r="J763" s="2" t="s">
        <v>946</v>
      </c>
      <c r="K763" s="4" t="s">
        <v>947</v>
      </c>
      <c r="L763" s="2" t="str">
        <f>IFERROR(VLOOKUP(IFERROR(VLOOKUP(C763,'Destination Alias'!$A:$B,2,FALSE()),C763),'Best Months'!$A:$B,2,FALSE()),"Not listed")</f>
        <v>Dec–Mar</v>
      </c>
      <c r="S763" t="s">
        <v>947</v>
      </c>
    </row>
    <row r="764" spans="1:19" x14ac:dyDescent="0.3">
      <c r="A764" s="2" t="s">
        <v>948</v>
      </c>
      <c r="B764" s="2" t="s">
        <v>22</v>
      </c>
      <c r="C764" s="2" t="s">
        <v>27</v>
      </c>
      <c r="D764" s="3">
        <v>0.27083333333333298</v>
      </c>
      <c r="E764" s="3">
        <v>0.39583333333333298</v>
      </c>
      <c r="F764" s="2" t="s">
        <v>61</v>
      </c>
      <c r="G764" s="2" t="s">
        <v>28</v>
      </c>
      <c r="H764" s="2">
        <v>4.3</v>
      </c>
      <c r="I764" s="2" t="s">
        <v>949</v>
      </c>
      <c r="J764" s="2" t="s">
        <v>950</v>
      </c>
      <c r="K764" s="2"/>
      <c r="L764" s="2" t="str">
        <f>IFERROR(VLOOKUP(IFERROR(VLOOKUP(C764,'Destination Alias'!$A:$B,2,FALSE()),C764),'Best Months'!$A:$B,2,FALSE()),"Not listed")</f>
        <v>May–Sep</v>
      </c>
    </row>
    <row r="765" spans="1:19" x14ac:dyDescent="0.3">
      <c r="A765" s="2" t="s">
        <v>951</v>
      </c>
      <c r="B765" s="2" t="s">
        <v>13</v>
      </c>
      <c r="C765" s="2" t="s">
        <v>137</v>
      </c>
      <c r="D765" s="3">
        <v>0.33333333333333298</v>
      </c>
      <c r="E765" s="3">
        <v>0.39583333333333298</v>
      </c>
      <c r="F765" s="2" t="s">
        <v>15</v>
      </c>
      <c r="G765" s="2" t="s">
        <v>16</v>
      </c>
      <c r="H765" s="2">
        <v>4</v>
      </c>
      <c r="I765" s="2" t="s">
        <v>604</v>
      </c>
      <c r="J765" s="2" t="s">
        <v>952</v>
      </c>
      <c r="K765" s="4" t="s">
        <v>953</v>
      </c>
      <c r="L765" s="2" t="str">
        <f>IFERROR(VLOOKUP(IFERROR(VLOOKUP(C765,'Destination Alias'!$A:$B,2,FALSE()),C765),'Best Months'!$A:$B,2,FALSE()),"Not listed")</f>
        <v>Jan–Mar</v>
      </c>
      <c r="S765" t="s">
        <v>953</v>
      </c>
    </row>
    <row r="766" spans="1:19" x14ac:dyDescent="0.3">
      <c r="A766" s="2" t="s">
        <v>951</v>
      </c>
      <c r="B766" s="2" t="s">
        <v>13</v>
      </c>
      <c r="C766" s="2" t="s">
        <v>137</v>
      </c>
      <c r="D766" s="3">
        <v>0.39583333333333298</v>
      </c>
      <c r="E766" s="3">
        <v>0.45833333333333298</v>
      </c>
      <c r="F766" s="2" t="s">
        <v>15</v>
      </c>
      <c r="G766" s="2" t="s">
        <v>20</v>
      </c>
      <c r="H766" s="2">
        <v>4</v>
      </c>
      <c r="I766" s="2" t="s">
        <v>604</v>
      </c>
      <c r="J766" s="2" t="s">
        <v>952</v>
      </c>
      <c r="K766" s="4" t="s">
        <v>953</v>
      </c>
      <c r="L766" s="2" t="str">
        <f>IFERROR(VLOOKUP(IFERROR(VLOOKUP(C766,'Destination Alias'!$A:$B,2,FALSE()),C766),'Best Months'!$A:$B,2,FALSE()),"Not listed")</f>
        <v>Jan–Mar</v>
      </c>
      <c r="S766" t="s">
        <v>953</v>
      </c>
    </row>
    <row r="767" spans="1:19" x14ac:dyDescent="0.3">
      <c r="A767" s="2" t="s">
        <v>954</v>
      </c>
      <c r="B767" s="2" t="s">
        <v>22</v>
      </c>
      <c r="C767" s="2" t="s">
        <v>44</v>
      </c>
      <c r="D767" s="3">
        <v>0.27083333333333298</v>
      </c>
      <c r="E767" s="3">
        <v>0.3125</v>
      </c>
      <c r="F767" s="2" t="s">
        <v>35</v>
      </c>
      <c r="G767" s="2" t="s">
        <v>28</v>
      </c>
      <c r="H767" s="2">
        <v>4.5999999999999996</v>
      </c>
      <c r="I767" s="2" t="s">
        <v>726</v>
      </c>
      <c r="J767" s="2" t="s">
        <v>955</v>
      </c>
      <c r="K767" s="4" t="s">
        <v>956</v>
      </c>
      <c r="L767" s="2" t="str">
        <f>IFERROR(VLOOKUP(IFERROR(VLOOKUP(C767,'Destination Alias'!$A:$B,2,FALSE()),C767),'Best Months'!$A:$B,2,FALSE()),"Not listed")</f>
        <v>Jan–Mar, Jul–Sep</v>
      </c>
      <c r="S767" t="s">
        <v>956</v>
      </c>
    </row>
    <row r="768" spans="1:19" x14ac:dyDescent="0.3">
      <c r="A768" s="2" t="s">
        <v>954</v>
      </c>
      <c r="B768" s="2" t="s">
        <v>22</v>
      </c>
      <c r="C768" s="2" t="s">
        <v>44</v>
      </c>
      <c r="D768" s="3">
        <v>0.3125</v>
      </c>
      <c r="E768" s="3">
        <v>0.35416666666666702</v>
      </c>
      <c r="F768" s="2" t="s">
        <v>35</v>
      </c>
      <c r="G768" s="2" t="s">
        <v>38</v>
      </c>
      <c r="H768" s="2">
        <v>4.5999999999999996</v>
      </c>
      <c r="I768" s="2" t="s">
        <v>726</v>
      </c>
      <c r="J768" s="2" t="s">
        <v>955</v>
      </c>
      <c r="K768" s="4" t="s">
        <v>956</v>
      </c>
      <c r="L768" s="2" t="str">
        <f>IFERROR(VLOOKUP(IFERROR(VLOOKUP(C768,'Destination Alias'!$A:$B,2,FALSE()),C768),'Best Months'!$A:$B,2,FALSE()),"Not listed")</f>
        <v>Jan–Mar, Jul–Sep</v>
      </c>
      <c r="S768" t="s">
        <v>956</v>
      </c>
    </row>
    <row r="769" spans="1:19" x14ac:dyDescent="0.3">
      <c r="A769" s="2" t="s">
        <v>954</v>
      </c>
      <c r="B769" s="2" t="s">
        <v>22</v>
      </c>
      <c r="C769" s="2" t="s">
        <v>44</v>
      </c>
      <c r="D769" s="3">
        <v>0.35416666666666702</v>
      </c>
      <c r="E769" s="3">
        <v>0.39583333333333298</v>
      </c>
      <c r="F769" s="2" t="s">
        <v>35</v>
      </c>
      <c r="G769" s="2" t="s">
        <v>16</v>
      </c>
      <c r="H769" s="2">
        <v>4.5999999999999996</v>
      </c>
      <c r="I769" s="2" t="s">
        <v>726</v>
      </c>
      <c r="J769" s="2" t="s">
        <v>955</v>
      </c>
      <c r="K769" s="4" t="s">
        <v>956</v>
      </c>
      <c r="L769" s="2" t="str">
        <f>IFERROR(VLOOKUP(IFERROR(VLOOKUP(C769,'Destination Alias'!$A:$B,2,FALSE()),C769),'Best Months'!$A:$B,2,FALSE()),"Not listed")</f>
        <v>Jan–Mar, Jul–Sep</v>
      </c>
      <c r="S769" t="s">
        <v>956</v>
      </c>
    </row>
    <row r="770" spans="1:19" x14ac:dyDescent="0.3">
      <c r="A770" s="2" t="s">
        <v>957</v>
      </c>
      <c r="B770" s="2" t="s">
        <v>13</v>
      </c>
      <c r="C770" s="2" t="s">
        <v>27</v>
      </c>
      <c r="D770" s="3">
        <v>0.64583333333333304</v>
      </c>
      <c r="E770" s="3">
        <v>0.70833333333333304</v>
      </c>
      <c r="F770" s="2" t="s">
        <v>15</v>
      </c>
      <c r="G770" s="2" t="s">
        <v>73</v>
      </c>
      <c r="H770" s="2">
        <v>4.0999999999999996</v>
      </c>
      <c r="I770" s="2" t="s">
        <v>958</v>
      </c>
      <c r="J770" s="2" t="s">
        <v>959</v>
      </c>
      <c r="K770" s="2"/>
      <c r="L770" s="2" t="str">
        <f>IFERROR(VLOOKUP(IFERROR(VLOOKUP(C770,'Destination Alias'!$A:$B,2,FALSE()),C770),'Best Months'!$A:$B,2,FALSE()),"Not listed")</f>
        <v>May–Sep</v>
      </c>
    </row>
    <row r="771" spans="1:19" x14ac:dyDescent="0.3">
      <c r="A771" s="2" t="s">
        <v>957</v>
      </c>
      <c r="B771" s="2" t="s">
        <v>13</v>
      </c>
      <c r="C771" s="2" t="s">
        <v>27</v>
      </c>
      <c r="D771" s="3">
        <v>0.70833333333333304</v>
      </c>
      <c r="E771" s="3">
        <v>0.77083333333333304</v>
      </c>
      <c r="F771" s="2" t="s">
        <v>15</v>
      </c>
      <c r="G771" s="2" t="s">
        <v>52</v>
      </c>
      <c r="H771" s="2">
        <v>4.0999999999999996</v>
      </c>
      <c r="I771" s="2" t="s">
        <v>958</v>
      </c>
      <c r="J771" s="2" t="s">
        <v>959</v>
      </c>
      <c r="K771" s="2"/>
      <c r="L771" s="2" t="str">
        <f>IFERROR(VLOOKUP(IFERROR(VLOOKUP(C771,'Destination Alias'!$A:$B,2,FALSE()),C771),'Best Months'!$A:$B,2,FALSE()),"Not listed")</f>
        <v>May–Sep</v>
      </c>
    </row>
    <row r="772" spans="1:19" x14ac:dyDescent="0.3">
      <c r="A772" s="2" t="s">
        <v>960</v>
      </c>
      <c r="B772" s="2" t="s">
        <v>22</v>
      </c>
      <c r="C772" s="2" t="s">
        <v>530</v>
      </c>
      <c r="D772" s="3">
        <v>0.3125</v>
      </c>
      <c r="E772" s="3">
        <v>0.35416666666666702</v>
      </c>
      <c r="F772" s="2" t="s">
        <v>35</v>
      </c>
      <c r="G772" s="2" t="s">
        <v>38</v>
      </c>
      <c r="H772" s="2">
        <v>4.5999999999999996</v>
      </c>
      <c r="I772" s="2" t="s">
        <v>961</v>
      </c>
      <c r="J772" s="2" t="s">
        <v>962</v>
      </c>
      <c r="K772" s="2"/>
      <c r="L772" s="2" t="str">
        <f>IFERROR(VLOOKUP(IFERROR(VLOOKUP(C772,'Destination Alias'!$A:$B,2,FALSE()),C772),'Best Months'!$A:$B,2,FALSE()),"Not listed")</f>
        <v>Jan–Mar, Jul–Sep</v>
      </c>
    </row>
    <row r="773" spans="1:19" x14ac:dyDescent="0.3">
      <c r="A773" s="2" t="s">
        <v>960</v>
      </c>
      <c r="B773" s="2" t="s">
        <v>22</v>
      </c>
      <c r="C773" s="2" t="s">
        <v>530</v>
      </c>
      <c r="D773" s="3">
        <v>0.35416666666666702</v>
      </c>
      <c r="E773" s="3">
        <v>0.39583333333333298</v>
      </c>
      <c r="F773" s="2" t="s">
        <v>35</v>
      </c>
      <c r="G773" s="2" t="s">
        <v>16</v>
      </c>
      <c r="H773" s="2">
        <v>4.5999999999999996</v>
      </c>
      <c r="I773" s="2" t="s">
        <v>961</v>
      </c>
      <c r="J773" s="2" t="s">
        <v>962</v>
      </c>
      <c r="K773" s="2"/>
      <c r="L773" s="2" t="str">
        <f>IFERROR(VLOOKUP(IFERROR(VLOOKUP(C773,'Destination Alias'!$A:$B,2,FALSE()),C773),'Best Months'!$A:$B,2,FALSE()),"Not listed")</f>
        <v>Jan–Mar, Jul–Sep</v>
      </c>
    </row>
    <row r="774" spans="1:19" x14ac:dyDescent="0.3">
      <c r="A774" s="2" t="s">
        <v>960</v>
      </c>
      <c r="B774" s="2" t="s">
        <v>22</v>
      </c>
      <c r="C774" s="2" t="s">
        <v>530</v>
      </c>
      <c r="D774" s="3">
        <v>0.39583333333333298</v>
      </c>
      <c r="E774" s="3">
        <v>0.4375</v>
      </c>
      <c r="F774" s="2" t="s">
        <v>35</v>
      </c>
      <c r="G774" s="2" t="s">
        <v>20</v>
      </c>
      <c r="H774" s="2">
        <v>4.5999999999999996</v>
      </c>
      <c r="I774" s="2" t="s">
        <v>961</v>
      </c>
      <c r="J774" s="2" t="s">
        <v>962</v>
      </c>
      <c r="K774" s="2"/>
      <c r="L774" s="2" t="str">
        <f>IFERROR(VLOOKUP(IFERROR(VLOOKUP(C774,'Destination Alias'!$A:$B,2,FALSE()),C774),'Best Months'!$A:$B,2,FALSE()),"Not listed")</f>
        <v>Jan–Mar, Jul–Sep</v>
      </c>
    </row>
    <row r="775" spans="1:19" x14ac:dyDescent="0.3">
      <c r="A775" s="2" t="s">
        <v>963</v>
      </c>
      <c r="B775" s="2" t="s">
        <v>13</v>
      </c>
      <c r="C775" s="2" t="s">
        <v>108</v>
      </c>
      <c r="D775" s="3">
        <v>0.375</v>
      </c>
      <c r="E775" s="3">
        <v>0.45833333333333298</v>
      </c>
      <c r="F775" s="2" t="s">
        <v>51</v>
      </c>
      <c r="G775" s="2" t="s">
        <v>20</v>
      </c>
      <c r="H775" s="2">
        <v>4.3</v>
      </c>
      <c r="I775" s="2" t="s">
        <v>964</v>
      </c>
      <c r="J775" s="2" t="s">
        <v>965</v>
      </c>
      <c r="K775" s="4" t="s">
        <v>966</v>
      </c>
      <c r="L775" s="2" t="str">
        <f>IFERROR(VLOOKUP(IFERROR(VLOOKUP(C775,'Destination Alias'!$A:$B,2,FALSE()),C775),'Best Months'!$A:$B,2,FALSE()),"Not listed")</f>
        <v>Jan–Mar, Jul–Aug</v>
      </c>
      <c r="S775" t="s">
        <v>966</v>
      </c>
    </row>
    <row r="776" spans="1:19" x14ac:dyDescent="0.3">
      <c r="A776" s="2" t="s">
        <v>967</v>
      </c>
      <c r="B776" s="2" t="s">
        <v>22</v>
      </c>
      <c r="C776" s="2" t="s">
        <v>137</v>
      </c>
      <c r="D776" s="3">
        <v>0.375</v>
      </c>
      <c r="E776" s="3">
        <v>0.41666666666666702</v>
      </c>
      <c r="F776" s="2" t="s">
        <v>35</v>
      </c>
      <c r="G776" s="2" t="s">
        <v>20</v>
      </c>
      <c r="H776" s="2">
        <v>4.5999999999999996</v>
      </c>
      <c r="I776" s="2" t="s">
        <v>968</v>
      </c>
      <c r="J776" s="2" t="s">
        <v>969</v>
      </c>
      <c r="K776" s="4" t="s">
        <v>970</v>
      </c>
      <c r="L776" s="2" t="str">
        <f>IFERROR(VLOOKUP(IFERROR(VLOOKUP(C776,'Destination Alias'!$A:$B,2,FALSE()),C776),'Best Months'!$A:$B,2,FALSE()),"Not listed")</f>
        <v>Jan–Mar</v>
      </c>
      <c r="S776" t="s">
        <v>970</v>
      </c>
    </row>
    <row r="777" spans="1:19" x14ac:dyDescent="0.3">
      <c r="A777" s="2" t="s">
        <v>967</v>
      </c>
      <c r="B777" s="2" t="s">
        <v>22</v>
      </c>
      <c r="C777" s="2" t="s">
        <v>137</v>
      </c>
      <c r="D777" s="3">
        <v>0.41666666666666702</v>
      </c>
      <c r="E777" s="3">
        <v>0.45833333333333298</v>
      </c>
      <c r="F777" s="2" t="s">
        <v>35</v>
      </c>
      <c r="G777" s="2" t="s">
        <v>20</v>
      </c>
      <c r="H777" s="2">
        <v>4.5999999999999996</v>
      </c>
      <c r="I777" s="2" t="s">
        <v>968</v>
      </c>
      <c r="J777" s="2" t="s">
        <v>969</v>
      </c>
      <c r="K777" s="4" t="s">
        <v>970</v>
      </c>
      <c r="L777" s="2" t="str">
        <f>IFERROR(VLOOKUP(IFERROR(VLOOKUP(C777,'Destination Alias'!$A:$B,2,FALSE()),C777),'Best Months'!$A:$B,2,FALSE()),"Not listed")</f>
        <v>Jan–Mar</v>
      </c>
      <c r="S777" t="s">
        <v>970</v>
      </c>
    </row>
    <row r="778" spans="1:19" x14ac:dyDescent="0.3">
      <c r="A778" s="2" t="s">
        <v>967</v>
      </c>
      <c r="B778" s="2" t="s">
        <v>22</v>
      </c>
      <c r="C778" s="2" t="s">
        <v>137</v>
      </c>
      <c r="D778" s="3">
        <v>0.45833333333333298</v>
      </c>
      <c r="E778" s="3">
        <v>0.5</v>
      </c>
      <c r="F778" s="2" t="s">
        <v>35</v>
      </c>
      <c r="G778" s="2" t="s">
        <v>220</v>
      </c>
      <c r="H778" s="2">
        <v>4.5999999999999996</v>
      </c>
      <c r="I778" s="2" t="s">
        <v>968</v>
      </c>
      <c r="J778" s="2" t="s">
        <v>969</v>
      </c>
      <c r="K778" s="4" t="s">
        <v>970</v>
      </c>
      <c r="L778" s="2" t="str">
        <f>IFERROR(VLOOKUP(IFERROR(VLOOKUP(C778,'Destination Alias'!$A:$B,2,FALSE()),C778),'Best Months'!$A:$B,2,FALSE()),"Not listed")</f>
        <v>Jan–Mar</v>
      </c>
      <c r="S778" t="s">
        <v>970</v>
      </c>
    </row>
    <row r="779" spans="1:19" x14ac:dyDescent="0.3">
      <c r="A779" s="2" t="s">
        <v>971</v>
      </c>
      <c r="B779" s="2" t="s">
        <v>22</v>
      </c>
      <c r="C779" s="2" t="s">
        <v>530</v>
      </c>
      <c r="D779" s="3">
        <v>0.27083333333333298</v>
      </c>
      <c r="E779" s="3">
        <v>0.3125</v>
      </c>
      <c r="F779" s="2" t="s">
        <v>35</v>
      </c>
      <c r="G779" s="2" t="s">
        <v>28</v>
      </c>
      <c r="H779" s="2">
        <v>4.5999999999999996</v>
      </c>
      <c r="I779" s="2" t="s">
        <v>972</v>
      </c>
      <c r="J779" s="2" t="s">
        <v>973</v>
      </c>
      <c r="K779" s="2"/>
      <c r="L779" s="2" t="str">
        <f>IFERROR(VLOOKUP(IFERROR(VLOOKUP(C779,'Destination Alias'!$A:$B,2,FALSE()),C779),'Best Months'!$A:$B,2,FALSE()),"Not listed")</f>
        <v>Jan–Mar, Jul–Sep</v>
      </c>
    </row>
    <row r="780" spans="1:19" x14ac:dyDescent="0.3">
      <c r="A780" s="2" t="s">
        <v>971</v>
      </c>
      <c r="B780" s="2" t="s">
        <v>22</v>
      </c>
      <c r="C780" s="2" t="s">
        <v>530</v>
      </c>
      <c r="D780" s="3">
        <v>0.3125</v>
      </c>
      <c r="E780" s="3">
        <v>0.35416666666666702</v>
      </c>
      <c r="F780" s="2" t="s">
        <v>35</v>
      </c>
      <c r="G780" s="2" t="s">
        <v>38</v>
      </c>
      <c r="H780" s="2">
        <v>4.5999999999999996</v>
      </c>
      <c r="I780" s="2" t="s">
        <v>972</v>
      </c>
      <c r="J780" s="2" t="s">
        <v>973</v>
      </c>
      <c r="K780" s="2"/>
      <c r="L780" s="2" t="str">
        <f>IFERROR(VLOOKUP(IFERROR(VLOOKUP(C780,'Destination Alias'!$A:$B,2,FALSE()),C780),'Best Months'!$A:$B,2,FALSE()),"Not listed")</f>
        <v>Jan–Mar, Jul–Sep</v>
      </c>
    </row>
    <row r="781" spans="1:19" x14ac:dyDescent="0.3">
      <c r="A781" s="2" t="s">
        <v>971</v>
      </c>
      <c r="B781" s="2" t="s">
        <v>22</v>
      </c>
      <c r="C781" s="2" t="s">
        <v>530</v>
      </c>
      <c r="D781" s="3">
        <v>0.35416666666666702</v>
      </c>
      <c r="E781" s="3">
        <v>0.39583333333333298</v>
      </c>
      <c r="F781" s="2" t="s">
        <v>35</v>
      </c>
      <c r="G781" s="2" t="s">
        <v>16</v>
      </c>
      <c r="H781" s="2">
        <v>4.5999999999999996</v>
      </c>
      <c r="I781" s="2" t="s">
        <v>972</v>
      </c>
      <c r="J781" s="2" t="s">
        <v>973</v>
      </c>
      <c r="K781" s="2"/>
      <c r="L781" s="2" t="str">
        <f>IFERROR(VLOOKUP(IFERROR(VLOOKUP(C781,'Destination Alias'!$A:$B,2,FALSE()),C781),'Best Months'!$A:$B,2,FALSE()),"Not listed")</f>
        <v>Jan–Mar, Jul–Sep</v>
      </c>
    </row>
    <row r="782" spans="1:19" x14ac:dyDescent="0.3">
      <c r="A782" s="2" t="s">
        <v>974</v>
      </c>
      <c r="B782" s="2" t="s">
        <v>13</v>
      </c>
      <c r="C782" s="2" t="s">
        <v>40</v>
      </c>
      <c r="D782" s="3">
        <v>0.27083333333333298</v>
      </c>
      <c r="E782" s="3">
        <v>0.3125</v>
      </c>
      <c r="F782" s="2" t="s">
        <v>35</v>
      </c>
      <c r="G782" s="2" t="s">
        <v>28</v>
      </c>
      <c r="H782" s="2">
        <v>4</v>
      </c>
      <c r="I782" s="2" t="s">
        <v>975</v>
      </c>
      <c r="J782" s="2" t="s">
        <v>976</v>
      </c>
      <c r="K782" s="2"/>
      <c r="L782" s="2" t="str">
        <f>IFERROR(VLOOKUP(IFERROR(VLOOKUP(C782,'Destination Alias'!$A:$B,2,FALSE()),C782),'Best Months'!$A:$B,2,FALSE()),"Not listed")</f>
        <v>Jan–Mar, Jul–Aug</v>
      </c>
    </row>
    <row r="783" spans="1:19" x14ac:dyDescent="0.3">
      <c r="A783" s="2" t="s">
        <v>974</v>
      </c>
      <c r="B783" s="2" t="s">
        <v>13</v>
      </c>
      <c r="C783" s="2" t="s">
        <v>40</v>
      </c>
      <c r="D783" s="3">
        <v>0.35416666666666702</v>
      </c>
      <c r="E783" s="3">
        <v>0.39583333333333298</v>
      </c>
      <c r="F783" s="2" t="s">
        <v>35</v>
      </c>
      <c r="G783" s="2" t="s">
        <v>16</v>
      </c>
      <c r="H783" s="2">
        <v>5</v>
      </c>
      <c r="I783" s="2" t="s">
        <v>975</v>
      </c>
      <c r="J783" s="2" t="s">
        <v>976</v>
      </c>
      <c r="K783" s="2"/>
      <c r="L783" s="2" t="str">
        <f>IFERROR(VLOOKUP(IFERROR(VLOOKUP(C783,'Destination Alias'!$A:$B,2,FALSE()),C783),'Best Months'!$A:$B,2,FALSE()),"Not listed")</f>
        <v>Jan–Mar, Jul–Aug</v>
      </c>
    </row>
    <row r="784" spans="1:19" x14ac:dyDescent="0.3">
      <c r="A784" s="2" t="s">
        <v>974</v>
      </c>
      <c r="B784" s="2" t="s">
        <v>13</v>
      </c>
      <c r="C784" s="2" t="s">
        <v>40</v>
      </c>
      <c r="D784" s="3">
        <v>0.41666666666666702</v>
      </c>
      <c r="E784" s="3">
        <v>0.45833333333333298</v>
      </c>
      <c r="F784" s="2" t="s">
        <v>35</v>
      </c>
      <c r="G784" s="2" t="s">
        <v>20</v>
      </c>
      <c r="H784" s="2">
        <v>4</v>
      </c>
      <c r="I784" s="2" t="s">
        <v>975</v>
      </c>
      <c r="J784" s="2" t="s">
        <v>976</v>
      </c>
      <c r="K784" s="2"/>
      <c r="L784" s="2" t="str">
        <f>IFERROR(VLOOKUP(IFERROR(VLOOKUP(C784,'Destination Alias'!$A:$B,2,FALSE()),C784),'Best Months'!$A:$B,2,FALSE()),"Not listed")</f>
        <v>Jan–Mar, Jul–Aug</v>
      </c>
    </row>
    <row r="785" spans="1:19" x14ac:dyDescent="0.3">
      <c r="A785" s="2" t="s">
        <v>974</v>
      </c>
      <c r="B785" s="2" t="s">
        <v>13</v>
      </c>
      <c r="C785" s="2" t="s">
        <v>40</v>
      </c>
      <c r="D785" s="3">
        <v>0.5</v>
      </c>
      <c r="E785" s="3">
        <v>0.54166666666666696</v>
      </c>
      <c r="F785" s="2" t="s">
        <v>35</v>
      </c>
      <c r="G785" s="2" t="s">
        <v>220</v>
      </c>
      <c r="H785" s="2">
        <v>4</v>
      </c>
      <c r="I785" s="2" t="s">
        <v>975</v>
      </c>
      <c r="J785" s="2" t="s">
        <v>976</v>
      </c>
      <c r="K785" s="2"/>
      <c r="L785" s="2" t="str">
        <f>IFERROR(VLOOKUP(IFERROR(VLOOKUP(C785,'Destination Alias'!$A:$B,2,FALSE()),C785),'Best Months'!$A:$B,2,FALSE()),"Not listed")</f>
        <v>Jan–Mar, Jul–Aug</v>
      </c>
    </row>
    <row r="786" spans="1:19" x14ac:dyDescent="0.3">
      <c r="A786" s="2" t="s">
        <v>974</v>
      </c>
      <c r="B786" s="2" t="s">
        <v>13</v>
      </c>
      <c r="C786" s="2" t="s">
        <v>40</v>
      </c>
      <c r="D786" s="3">
        <v>0.625</v>
      </c>
      <c r="E786" s="3">
        <v>0.66666666666666696</v>
      </c>
      <c r="F786" s="2" t="s">
        <v>35</v>
      </c>
      <c r="G786" s="2" t="s">
        <v>73</v>
      </c>
      <c r="H786" s="2">
        <v>2</v>
      </c>
      <c r="I786" s="2" t="s">
        <v>975</v>
      </c>
      <c r="J786" s="2" t="s">
        <v>976</v>
      </c>
      <c r="K786" s="2"/>
      <c r="L786" s="2" t="str">
        <f>IFERROR(VLOOKUP(IFERROR(VLOOKUP(C786,'Destination Alias'!$A:$B,2,FALSE()),C786),'Best Months'!$A:$B,2,FALSE()),"Not listed")</f>
        <v>Jan–Mar, Jul–Aug</v>
      </c>
    </row>
    <row r="787" spans="1:19" x14ac:dyDescent="0.3">
      <c r="A787" s="2" t="s">
        <v>974</v>
      </c>
      <c r="B787" s="2" t="s">
        <v>13</v>
      </c>
      <c r="C787" s="2" t="s">
        <v>40</v>
      </c>
      <c r="D787" s="3">
        <v>0.6875</v>
      </c>
      <c r="E787" s="3">
        <v>0.72916666666666696</v>
      </c>
      <c r="F787" s="2" t="s">
        <v>35</v>
      </c>
      <c r="G787" s="2" t="s">
        <v>73</v>
      </c>
      <c r="H787" s="2">
        <v>5</v>
      </c>
      <c r="I787" s="2" t="s">
        <v>975</v>
      </c>
      <c r="J787" s="2" t="s">
        <v>976</v>
      </c>
      <c r="K787" s="2"/>
      <c r="L787" s="2" t="str">
        <f>IFERROR(VLOOKUP(IFERROR(VLOOKUP(C787,'Destination Alias'!$A:$B,2,FALSE()),C787),'Best Months'!$A:$B,2,FALSE()),"Not listed")</f>
        <v>Jan–Mar, Jul–Aug</v>
      </c>
    </row>
    <row r="788" spans="1:19" x14ac:dyDescent="0.3">
      <c r="A788" s="2" t="s">
        <v>974</v>
      </c>
      <c r="B788" s="2" t="s">
        <v>13</v>
      </c>
      <c r="C788" s="2" t="s">
        <v>40</v>
      </c>
      <c r="D788" s="3">
        <v>0.75</v>
      </c>
      <c r="E788" s="3">
        <v>0.79166666666666696</v>
      </c>
      <c r="F788" s="2" t="s">
        <v>35</v>
      </c>
      <c r="G788" s="2" t="s">
        <v>102</v>
      </c>
      <c r="H788" s="2">
        <v>5</v>
      </c>
      <c r="I788" s="2" t="s">
        <v>975</v>
      </c>
      <c r="J788" s="2" t="s">
        <v>976</v>
      </c>
      <c r="K788" s="2"/>
      <c r="L788" s="2" t="str">
        <f>IFERROR(VLOOKUP(IFERROR(VLOOKUP(C788,'Destination Alias'!$A:$B,2,FALSE()),C788),'Best Months'!$A:$B,2,FALSE()),"Not listed")</f>
        <v>Jan–Mar, Jul–Aug</v>
      </c>
    </row>
    <row r="789" spans="1:19" x14ac:dyDescent="0.3">
      <c r="A789" s="2" t="s">
        <v>974</v>
      </c>
      <c r="B789" s="2" t="s">
        <v>13</v>
      </c>
      <c r="C789" s="2" t="s">
        <v>40</v>
      </c>
      <c r="D789" s="3">
        <v>0.3125</v>
      </c>
      <c r="E789" s="3">
        <v>0.35416666666666702</v>
      </c>
      <c r="F789" s="2" t="s">
        <v>35</v>
      </c>
      <c r="G789" s="2" t="s">
        <v>38</v>
      </c>
      <c r="H789" s="2">
        <v>4.0999999999999996</v>
      </c>
      <c r="I789" s="2" t="s">
        <v>975</v>
      </c>
      <c r="J789" s="2" t="s">
        <v>976</v>
      </c>
      <c r="K789" s="2"/>
      <c r="L789" s="2" t="str">
        <f>IFERROR(VLOOKUP(IFERROR(VLOOKUP(C789,'Destination Alias'!$A:$B,2,FALSE()),C789),'Best Months'!$A:$B,2,FALSE()),"Not listed")</f>
        <v>Jan–Mar, Jul–Aug</v>
      </c>
    </row>
    <row r="790" spans="1:19" x14ac:dyDescent="0.3">
      <c r="A790" s="2" t="s">
        <v>974</v>
      </c>
      <c r="B790" s="2" t="s">
        <v>13</v>
      </c>
      <c r="C790" s="2" t="s">
        <v>40</v>
      </c>
      <c r="D790" s="3">
        <v>0.35416666666666702</v>
      </c>
      <c r="E790" s="3">
        <v>0.39583333333333298</v>
      </c>
      <c r="F790" s="2" t="s">
        <v>35</v>
      </c>
      <c r="G790" s="2" t="s">
        <v>16</v>
      </c>
      <c r="H790" s="2">
        <v>4.0999999999999996</v>
      </c>
      <c r="I790" s="2" t="s">
        <v>975</v>
      </c>
      <c r="J790" s="2" t="s">
        <v>976</v>
      </c>
      <c r="K790" s="2"/>
      <c r="L790" s="2" t="str">
        <f>IFERROR(VLOOKUP(IFERROR(VLOOKUP(C790,'Destination Alias'!$A:$B,2,FALSE()),C790),'Best Months'!$A:$B,2,FALSE()),"Not listed")</f>
        <v>Jan–Mar, Jul–Aug</v>
      </c>
    </row>
    <row r="791" spans="1:19" x14ac:dyDescent="0.3">
      <c r="A791" s="2" t="s">
        <v>974</v>
      </c>
      <c r="B791" s="2" t="s">
        <v>13</v>
      </c>
      <c r="C791" s="2" t="s">
        <v>40</v>
      </c>
      <c r="D791" s="3">
        <v>0.39583333333333298</v>
      </c>
      <c r="E791" s="3">
        <v>0.4375</v>
      </c>
      <c r="F791" s="2" t="s">
        <v>35</v>
      </c>
      <c r="G791" s="2" t="s">
        <v>20</v>
      </c>
      <c r="H791" s="2">
        <v>4.0999999999999996</v>
      </c>
      <c r="I791" s="2" t="s">
        <v>975</v>
      </c>
      <c r="J791" s="2" t="s">
        <v>976</v>
      </c>
      <c r="K791" s="2"/>
      <c r="L791" s="2" t="str">
        <f>IFERROR(VLOOKUP(IFERROR(VLOOKUP(C791,'Destination Alias'!$A:$B,2,FALSE()),C791),'Best Months'!$A:$B,2,FALSE()),"Not listed")</f>
        <v>Jan–Mar, Jul–Aug</v>
      </c>
    </row>
    <row r="792" spans="1:19" x14ac:dyDescent="0.3">
      <c r="A792" s="2" t="s">
        <v>977</v>
      </c>
      <c r="B792" s="2" t="s">
        <v>13</v>
      </c>
      <c r="C792" s="2" t="s">
        <v>40</v>
      </c>
      <c r="D792" s="3">
        <v>0.27083333333333298</v>
      </c>
      <c r="E792" s="3">
        <v>0.3125</v>
      </c>
      <c r="F792" s="2" t="s">
        <v>35</v>
      </c>
      <c r="G792" s="2" t="s">
        <v>28</v>
      </c>
      <c r="H792" s="2">
        <v>4</v>
      </c>
      <c r="I792" s="2" t="s">
        <v>978</v>
      </c>
      <c r="J792" s="2" t="s">
        <v>979</v>
      </c>
      <c r="K792" s="4" t="s">
        <v>980</v>
      </c>
      <c r="L792" s="2" t="str">
        <f>IFERROR(VLOOKUP(IFERROR(VLOOKUP(C792,'Destination Alias'!$A:$B,2,FALSE()),C792),'Best Months'!$A:$B,2,FALSE()),"Not listed")</f>
        <v>Jan–Mar, Jul–Aug</v>
      </c>
      <c r="S792" t="s">
        <v>980</v>
      </c>
    </row>
    <row r="793" spans="1:19" x14ac:dyDescent="0.3">
      <c r="A793" s="2" t="s">
        <v>977</v>
      </c>
      <c r="B793" s="2" t="s">
        <v>13</v>
      </c>
      <c r="C793" s="2" t="s">
        <v>40</v>
      </c>
      <c r="D793" s="3">
        <v>0.35416666666666702</v>
      </c>
      <c r="E793" s="3">
        <v>0.39583333333333298</v>
      </c>
      <c r="F793" s="2" t="s">
        <v>35</v>
      </c>
      <c r="G793" s="2" t="s">
        <v>16</v>
      </c>
      <c r="H793" s="2">
        <v>3</v>
      </c>
      <c r="I793" s="2" t="s">
        <v>978</v>
      </c>
      <c r="J793" s="2" t="s">
        <v>979</v>
      </c>
      <c r="K793" s="4" t="s">
        <v>980</v>
      </c>
      <c r="L793" s="2" t="str">
        <f>IFERROR(VLOOKUP(IFERROR(VLOOKUP(C793,'Destination Alias'!$A:$B,2,FALSE()),C793),'Best Months'!$A:$B,2,FALSE()),"Not listed")</f>
        <v>Jan–Mar, Jul–Aug</v>
      </c>
      <c r="S793" t="s">
        <v>980</v>
      </c>
    </row>
    <row r="794" spans="1:19" x14ac:dyDescent="0.3">
      <c r="A794" s="2" t="s">
        <v>977</v>
      </c>
      <c r="B794" s="2" t="s">
        <v>13</v>
      </c>
      <c r="C794" s="2" t="s">
        <v>40</v>
      </c>
      <c r="D794" s="3">
        <v>0.35416666666666702</v>
      </c>
      <c r="E794" s="3">
        <v>0.39583333333333298</v>
      </c>
      <c r="F794" s="2" t="s">
        <v>35</v>
      </c>
      <c r="G794" s="2" t="s">
        <v>16</v>
      </c>
      <c r="H794" s="2">
        <v>5</v>
      </c>
      <c r="I794" s="2" t="s">
        <v>978</v>
      </c>
      <c r="J794" s="2" t="s">
        <v>979</v>
      </c>
      <c r="K794" s="4" t="s">
        <v>980</v>
      </c>
      <c r="L794" s="2" t="str">
        <f>IFERROR(VLOOKUP(IFERROR(VLOOKUP(C794,'Destination Alias'!$A:$B,2,FALSE()),C794),'Best Months'!$A:$B,2,FALSE()),"Not listed")</f>
        <v>Jan–Mar, Jul–Aug</v>
      </c>
      <c r="S794" t="s">
        <v>980</v>
      </c>
    </row>
    <row r="795" spans="1:19" x14ac:dyDescent="0.3">
      <c r="A795" s="2" t="s">
        <v>977</v>
      </c>
      <c r="B795" s="2" t="s">
        <v>13</v>
      </c>
      <c r="C795" s="2" t="s">
        <v>40</v>
      </c>
      <c r="D795" s="3">
        <v>0.35416666666666702</v>
      </c>
      <c r="E795" s="3">
        <v>0.39583333333333298</v>
      </c>
      <c r="F795" s="2" t="s">
        <v>35</v>
      </c>
      <c r="G795" s="2" t="s">
        <v>16</v>
      </c>
      <c r="H795" s="2">
        <v>5</v>
      </c>
      <c r="I795" s="2" t="s">
        <v>978</v>
      </c>
      <c r="J795" s="2" t="s">
        <v>979</v>
      </c>
      <c r="K795" s="4" t="s">
        <v>980</v>
      </c>
      <c r="L795" s="2" t="str">
        <f>IFERROR(VLOOKUP(IFERROR(VLOOKUP(C795,'Destination Alias'!$A:$B,2,FALSE()),C795),'Best Months'!$A:$B,2,FALSE()),"Not listed")</f>
        <v>Jan–Mar, Jul–Aug</v>
      </c>
      <c r="S795" t="s">
        <v>980</v>
      </c>
    </row>
    <row r="796" spans="1:19" x14ac:dyDescent="0.3">
      <c r="A796" s="2" t="s">
        <v>977</v>
      </c>
      <c r="B796" s="2" t="s">
        <v>13</v>
      </c>
      <c r="C796" s="2" t="s">
        <v>40</v>
      </c>
      <c r="D796" s="3">
        <v>0.41666666666666702</v>
      </c>
      <c r="E796" s="3">
        <v>0.45833333333333298</v>
      </c>
      <c r="F796" s="2" t="s">
        <v>35</v>
      </c>
      <c r="G796" s="2" t="s">
        <v>20</v>
      </c>
      <c r="H796" s="2">
        <v>4</v>
      </c>
      <c r="I796" s="2" t="s">
        <v>978</v>
      </c>
      <c r="J796" s="2" t="s">
        <v>979</v>
      </c>
      <c r="K796" s="4" t="s">
        <v>980</v>
      </c>
      <c r="L796" s="2" t="str">
        <f>IFERROR(VLOOKUP(IFERROR(VLOOKUP(C796,'Destination Alias'!$A:$B,2,FALSE()),C796),'Best Months'!$A:$B,2,FALSE()),"Not listed")</f>
        <v>Jan–Mar, Jul–Aug</v>
      </c>
      <c r="S796" t="s">
        <v>980</v>
      </c>
    </row>
    <row r="797" spans="1:19" x14ac:dyDescent="0.3">
      <c r="A797" s="2" t="s">
        <v>977</v>
      </c>
      <c r="B797" s="2" t="s">
        <v>13</v>
      </c>
      <c r="C797" s="2" t="s">
        <v>40</v>
      </c>
      <c r="D797" s="3">
        <v>0.5</v>
      </c>
      <c r="E797" s="3">
        <v>0.54166666666666696</v>
      </c>
      <c r="F797" s="2" t="s">
        <v>35</v>
      </c>
      <c r="G797" s="2" t="s">
        <v>220</v>
      </c>
      <c r="H797" s="2">
        <v>4</v>
      </c>
      <c r="I797" s="2" t="s">
        <v>978</v>
      </c>
      <c r="J797" s="2" t="s">
        <v>979</v>
      </c>
      <c r="K797" s="4" t="s">
        <v>980</v>
      </c>
      <c r="L797" s="2" t="str">
        <f>IFERROR(VLOOKUP(IFERROR(VLOOKUP(C797,'Destination Alias'!$A:$B,2,FALSE()),C797),'Best Months'!$A:$B,2,FALSE()),"Not listed")</f>
        <v>Jan–Mar, Jul–Aug</v>
      </c>
      <c r="S797" t="s">
        <v>980</v>
      </c>
    </row>
    <row r="798" spans="1:19" x14ac:dyDescent="0.3">
      <c r="A798" s="2" t="s">
        <v>977</v>
      </c>
      <c r="B798" s="2" t="s">
        <v>13</v>
      </c>
      <c r="C798" s="2" t="s">
        <v>40</v>
      </c>
      <c r="D798" s="3">
        <v>0.625</v>
      </c>
      <c r="E798" s="3">
        <v>0.66666666666666696</v>
      </c>
      <c r="F798" s="2" t="s">
        <v>35</v>
      </c>
      <c r="G798" s="2" t="s">
        <v>73</v>
      </c>
      <c r="H798" s="2">
        <v>2</v>
      </c>
      <c r="I798" s="2" t="s">
        <v>978</v>
      </c>
      <c r="J798" s="2" t="s">
        <v>979</v>
      </c>
      <c r="K798" s="4" t="s">
        <v>980</v>
      </c>
      <c r="L798" s="2" t="str">
        <f>IFERROR(VLOOKUP(IFERROR(VLOOKUP(C798,'Destination Alias'!$A:$B,2,FALSE()),C798),'Best Months'!$A:$B,2,FALSE()),"Not listed")</f>
        <v>Jan–Mar, Jul–Aug</v>
      </c>
      <c r="S798" t="s">
        <v>980</v>
      </c>
    </row>
    <row r="799" spans="1:19" x14ac:dyDescent="0.3">
      <c r="A799" s="2" t="s">
        <v>977</v>
      </c>
      <c r="B799" s="2" t="s">
        <v>13</v>
      </c>
      <c r="C799" s="2" t="s">
        <v>40</v>
      </c>
      <c r="D799" s="3">
        <v>0.6875</v>
      </c>
      <c r="E799" s="3">
        <v>0.72916666666666696</v>
      </c>
      <c r="F799" s="2" t="s">
        <v>35</v>
      </c>
      <c r="G799" s="2" t="s">
        <v>73</v>
      </c>
      <c r="H799" s="2">
        <v>5</v>
      </c>
      <c r="I799" s="2" t="s">
        <v>978</v>
      </c>
      <c r="J799" s="2" t="s">
        <v>979</v>
      </c>
      <c r="K799" s="4" t="s">
        <v>980</v>
      </c>
      <c r="L799" s="2" t="str">
        <f>IFERROR(VLOOKUP(IFERROR(VLOOKUP(C799,'Destination Alias'!$A:$B,2,FALSE()),C799),'Best Months'!$A:$B,2,FALSE()),"Not listed")</f>
        <v>Jan–Mar, Jul–Aug</v>
      </c>
      <c r="S799" t="s">
        <v>980</v>
      </c>
    </row>
    <row r="800" spans="1:19" x14ac:dyDescent="0.3">
      <c r="A800" s="2" t="s">
        <v>977</v>
      </c>
      <c r="B800" s="2" t="s">
        <v>13</v>
      </c>
      <c r="C800" s="2" t="s">
        <v>40</v>
      </c>
      <c r="D800" s="3">
        <v>0.75</v>
      </c>
      <c r="E800" s="3">
        <v>0.79166666666666696</v>
      </c>
      <c r="F800" s="2" t="s">
        <v>35</v>
      </c>
      <c r="G800" s="2" t="s">
        <v>102</v>
      </c>
      <c r="H800" s="2">
        <v>5</v>
      </c>
      <c r="I800" s="2" t="s">
        <v>978</v>
      </c>
      <c r="J800" s="2" t="s">
        <v>979</v>
      </c>
      <c r="K800" s="4" t="s">
        <v>980</v>
      </c>
      <c r="L800" s="2" t="str">
        <f>IFERROR(VLOOKUP(IFERROR(VLOOKUP(C800,'Destination Alias'!$A:$B,2,FALSE()),C800),'Best Months'!$A:$B,2,FALSE()),"Not listed")</f>
        <v>Jan–Mar, Jul–Aug</v>
      </c>
      <c r="S800" t="s">
        <v>980</v>
      </c>
    </row>
    <row r="801" spans="1:19" x14ac:dyDescent="0.3">
      <c r="A801" s="2" t="s">
        <v>977</v>
      </c>
      <c r="B801" s="2" t="s">
        <v>13</v>
      </c>
      <c r="C801" s="2" t="s">
        <v>40</v>
      </c>
      <c r="D801" s="3">
        <v>0.3125</v>
      </c>
      <c r="E801" s="3">
        <v>0.35416666666666702</v>
      </c>
      <c r="F801" s="2" t="s">
        <v>35</v>
      </c>
      <c r="G801" s="2" t="s">
        <v>38</v>
      </c>
      <c r="H801" s="2">
        <v>4.0999999999999996</v>
      </c>
      <c r="I801" s="2" t="s">
        <v>978</v>
      </c>
      <c r="J801" s="2" t="s">
        <v>979</v>
      </c>
      <c r="K801" s="4" t="s">
        <v>980</v>
      </c>
      <c r="L801" s="2" t="str">
        <f>IFERROR(VLOOKUP(IFERROR(VLOOKUP(C801,'Destination Alias'!$A:$B,2,FALSE()),C801),'Best Months'!$A:$B,2,FALSE()),"Not listed")</f>
        <v>Jan–Mar, Jul–Aug</v>
      </c>
      <c r="S801" t="s">
        <v>980</v>
      </c>
    </row>
    <row r="802" spans="1:19" x14ac:dyDescent="0.3">
      <c r="A802" s="2" t="s">
        <v>977</v>
      </c>
      <c r="B802" s="2" t="s">
        <v>13</v>
      </c>
      <c r="C802" s="2" t="s">
        <v>40</v>
      </c>
      <c r="D802" s="3">
        <v>0.35416666666666702</v>
      </c>
      <c r="E802" s="3">
        <v>0.39583333333333298</v>
      </c>
      <c r="F802" s="2" t="s">
        <v>35</v>
      </c>
      <c r="G802" s="2" t="s">
        <v>16</v>
      </c>
      <c r="H802" s="2">
        <v>4.0999999999999996</v>
      </c>
      <c r="I802" s="2" t="s">
        <v>978</v>
      </c>
      <c r="J802" s="2" t="s">
        <v>979</v>
      </c>
      <c r="K802" s="4" t="s">
        <v>980</v>
      </c>
      <c r="L802" s="2" t="str">
        <f>IFERROR(VLOOKUP(IFERROR(VLOOKUP(C802,'Destination Alias'!$A:$B,2,FALSE()),C802),'Best Months'!$A:$B,2,FALSE()),"Not listed")</f>
        <v>Jan–Mar, Jul–Aug</v>
      </c>
      <c r="S802" t="s">
        <v>980</v>
      </c>
    </row>
    <row r="803" spans="1:19" x14ac:dyDescent="0.3">
      <c r="A803" s="2" t="s">
        <v>977</v>
      </c>
      <c r="B803" s="2" t="s">
        <v>13</v>
      </c>
      <c r="C803" s="2" t="s">
        <v>40</v>
      </c>
      <c r="D803" s="3">
        <v>0.39583333333333298</v>
      </c>
      <c r="E803" s="3">
        <v>0.4375</v>
      </c>
      <c r="F803" s="2" t="s">
        <v>35</v>
      </c>
      <c r="G803" s="2" t="s">
        <v>20</v>
      </c>
      <c r="H803" s="2">
        <v>4.0999999999999996</v>
      </c>
      <c r="I803" s="2" t="s">
        <v>978</v>
      </c>
      <c r="J803" s="2" t="s">
        <v>979</v>
      </c>
      <c r="K803" s="4" t="s">
        <v>980</v>
      </c>
      <c r="L803" s="2" t="str">
        <f>IFERROR(VLOOKUP(IFERROR(VLOOKUP(C803,'Destination Alias'!$A:$B,2,FALSE()),C803),'Best Months'!$A:$B,2,FALSE()),"Not listed")</f>
        <v>Jan–Mar, Jul–Aug</v>
      </c>
      <c r="S803" t="s">
        <v>980</v>
      </c>
    </row>
    <row r="804" spans="1:19" x14ac:dyDescent="0.3">
      <c r="A804" s="2" t="s">
        <v>981</v>
      </c>
      <c r="B804" s="2" t="s">
        <v>49</v>
      </c>
      <c r="C804" s="2" t="s">
        <v>40</v>
      </c>
      <c r="D804" s="3">
        <v>0.3125</v>
      </c>
      <c r="E804" s="3">
        <v>0.35416666666666702</v>
      </c>
      <c r="F804" s="2" t="s">
        <v>35</v>
      </c>
      <c r="G804" s="2" t="s">
        <v>38</v>
      </c>
      <c r="H804" s="2">
        <v>4.5</v>
      </c>
      <c r="I804" s="2" t="s">
        <v>982</v>
      </c>
      <c r="J804" s="2" t="s">
        <v>983</v>
      </c>
      <c r="K804" s="4" t="s">
        <v>984</v>
      </c>
      <c r="L804" s="2" t="str">
        <f>IFERROR(VLOOKUP(IFERROR(VLOOKUP(C804,'Destination Alias'!$A:$B,2,FALSE()),C804),'Best Months'!$A:$B,2,FALSE()),"Not listed")</f>
        <v>Jan–Mar, Jul–Aug</v>
      </c>
      <c r="S804" t="s">
        <v>984</v>
      </c>
    </row>
    <row r="805" spans="1:19" x14ac:dyDescent="0.3">
      <c r="A805" s="2" t="s">
        <v>981</v>
      </c>
      <c r="B805" s="2" t="s">
        <v>49</v>
      </c>
      <c r="C805" s="2" t="s">
        <v>40</v>
      </c>
      <c r="D805" s="3">
        <v>0.35416666666666702</v>
      </c>
      <c r="E805" s="3">
        <v>0.39583333333333298</v>
      </c>
      <c r="F805" s="2" t="s">
        <v>35</v>
      </c>
      <c r="G805" s="2" t="s">
        <v>16</v>
      </c>
      <c r="H805" s="2">
        <v>4.5</v>
      </c>
      <c r="I805" s="2" t="s">
        <v>982</v>
      </c>
      <c r="J805" s="2" t="s">
        <v>983</v>
      </c>
      <c r="K805" s="4" t="s">
        <v>984</v>
      </c>
      <c r="L805" s="2" t="str">
        <f>IFERROR(VLOOKUP(IFERROR(VLOOKUP(C805,'Destination Alias'!$A:$B,2,FALSE()),C805),'Best Months'!$A:$B,2,FALSE()),"Not listed")</f>
        <v>Jan–Mar, Jul–Aug</v>
      </c>
      <c r="S805" t="s">
        <v>984</v>
      </c>
    </row>
    <row r="806" spans="1:19" x14ac:dyDescent="0.3">
      <c r="A806" s="2" t="s">
        <v>981</v>
      </c>
      <c r="B806" s="2" t="s">
        <v>49</v>
      </c>
      <c r="C806" s="2" t="s">
        <v>40</v>
      </c>
      <c r="D806" s="3">
        <v>0.39583333333333298</v>
      </c>
      <c r="E806" s="3">
        <v>0.4375</v>
      </c>
      <c r="F806" s="2" t="s">
        <v>35</v>
      </c>
      <c r="G806" s="2" t="s">
        <v>20</v>
      </c>
      <c r="H806" s="2">
        <v>4.5</v>
      </c>
      <c r="I806" s="2" t="s">
        <v>982</v>
      </c>
      <c r="J806" s="2" t="s">
        <v>983</v>
      </c>
      <c r="K806" s="4" t="s">
        <v>984</v>
      </c>
      <c r="L806" s="2" t="str">
        <f>IFERROR(VLOOKUP(IFERROR(VLOOKUP(C806,'Destination Alias'!$A:$B,2,FALSE()),C806),'Best Months'!$A:$B,2,FALSE()),"Not listed")</f>
        <v>Jan–Mar, Jul–Aug</v>
      </c>
      <c r="S806" t="s">
        <v>984</v>
      </c>
    </row>
    <row r="807" spans="1:19" x14ac:dyDescent="0.3">
      <c r="A807" s="2" t="s">
        <v>985</v>
      </c>
      <c r="B807" s="2" t="s">
        <v>13</v>
      </c>
      <c r="C807" s="2" t="s">
        <v>323</v>
      </c>
      <c r="D807" s="3">
        <v>0.27083333333333298</v>
      </c>
      <c r="E807" s="3">
        <v>0.3125</v>
      </c>
      <c r="F807" s="2" t="s">
        <v>35</v>
      </c>
      <c r="G807" s="2" t="s">
        <v>28</v>
      </c>
      <c r="H807" s="2">
        <v>4</v>
      </c>
      <c r="I807" s="2" t="s">
        <v>986</v>
      </c>
      <c r="J807" s="2" t="s">
        <v>987</v>
      </c>
      <c r="K807" s="2"/>
      <c r="L807" s="2" t="str">
        <f>IFERROR(VLOOKUP(IFERROR(VLOOKUP(C807,'Destination Alias'!$A:$B,2,FALSE()),C807),'Best Months'!$A:$B,2,FALSE()),"Not listed")</f>
        <v>Jan–Mar, Jul–Aug</v>
      </c>
    </row>
    <row r="808" spans="1:19" x14ac:dyDescent="0.3">
      <c r="A808" s="2" t="s">
        <v>985</v>
      </c>
      <c r="B808" s="2" t="s">
        <v>13</v>
      </c>
      <c r="C808" s="2" t="s">
        <v>323</v>
      </c>
      <c r="D808" s="3">
        <v>0.35416666666666702</v>
      </c>
      <c r="E808" s="3">
        <v>0.39583333333333298</v>
      </c>
      <c r="F808" s="2" t="s">
        <v>35</v>
      </c>
      <c r="G808" s="2" t="s">
        <v>16</v>
      </c>
      <c r="H808" s="2">
        <v>5</v>
      </c>
      <c r="I808" s="2" t="s">
        <v>986</v>
      </c>
      <c r="J808" s="2" t="s">
        <v>987</v>
      </c>
      <c r="K808" s="2"/>
      <c r="L808" s="2" t="str">
        <f>IFERROR(VLOOKUP(IFERROR(VLOOKUP(C808,'Destination Alias'!$A:$B,2,FALSE()),C808),'Best Months'!$A:$B,2,FALSE()),"Not listed")</f>
        <v>Jan–Mar, Jul–Aug</v>
      </c>
    </row>
    <row r="809" spans="1:19" x14ac:dyDescent="0.3">
      <c r="A809" s="2" t="s">
        <v>985</v>
      </c>
      <c r="B809" s="2" t="s">
        <v>13</v>
      </c>
      <c r="C809" s="2" t="s">
        <v>323</v>
      </c>
      <c r="D809" s="3">
        <v>0.41666666666666702</v>
      </c>
      <c r="E809" s="3">
        <v>0.45833333333333298</v>
      </c>
      <c r="F809" s="2" t="s">
        <v>35</v>
      </c>
      <c r="G809" s="2" t="s">
        <v>20</v>
      </c>
      <c r="H809" s="2">
        <v>4</v>
      </c>
      <c r="I809" s="2" t="s">
        <v>986</v>
      </c>
      <c r="J809" s="2" t="s">
        <v>987</v>
      </c>
      <c r="K809" s="2"/>
      <c r="L809" s="2" t="str">
        <f>IFERROR(VLOOKUP(IFERROR(VLOOKUP(C809,'Destination Alias'!$A:$B,2,FALSE()),C809),'Best Months'!$A:$B,2,FALSE()),"Not listed")</f>
        <v>Jan–Mar, Jul–Aug</v>
      </c>
    </row>
    <row r="810" spans="1:19" x14ac:dyDescent="0.3">
      <c r="A810" s="2" t="s">
        <v>985</v>
      </c>
      <c r="B810" s="2" t="s">
        <v>13</v>
      </c>
      <c r="C810" s="2" t="s">
        <v>323</v>
      </c>
      <c r="D810" s="3">
        <v>0.5</v>
      </c>
      <c r="E810" s="3">
        <v>0.54166666666666696</v>
      </c>
      <c r="F810" s="2" t="s">
        <v>35</v>
      </c>
      <c r="G810" s="2" t="s">
        <v>220</v>
      </c>
      <c r="H810" s="2">
        <v>4</v>
      </c>
      <c r="I810" s="2" t="s">
        <v>986</v>
      </c>
      <c r="J810" s="2" t="s">
        <v>987</v>
      </c>
      <c r="K810" s="2"/>
      <c r="L810" s="2" t="str">
        <f>IFERROR(VLOOKUP(IFERROR(VLOOKUP(C810,'Destination Alias'!$A:$B,2,FALSE()),C810),'Best Months'!$A:$B,2,FALSE()),"Not listed")</f>
        <v>Jan–Mar, Jul–Aug</v>
      </c>
    </row>
    <row r="811" spans="1:19" x14ac:dyDescent="0.3">
      <c r="A811" s="2" t="s">
        <v>985</v>
      </c>
      <c r="B811" s="2" t="s">
        <v>13</v>
      </c>
      <c r="C811" s="2" t="s">
        <v>323</v>
      </c>
      <c r="D811" s="3">
        <v>0.625</v>
      </c>
      <c r="E811" s="3">
        <v>0.66666666666666696</v>
      </c>
      <c r="F811" s="2" t="s">
        <v>35</v>
      </c>
      <c r="G811" s="2" t="s">
        <v>73</v>
      </c>
      <c r="H811" s="2">
        <v>2</v>
      </c>
      <c r="I811" s="2" t="s">
        <v>986</v>
      </c>
      <c r="J811" s="2" t="s">
        <v>987</v>
      </c>
      <c r="K811" s="2"/>
      <c r="L811" s="2" t="str">
        <f>IFERROR(VLOOKUP(IFERROR(VLOOKUP(C811,'Destination Alias'!$A:$B,2,FALSE()),C811),'Best Months'!$A:$B,2,FALSE()),"Not listed")</f>
        <v>Jan–Mar, Jul–Aug</v>
      </c>
    </row>
    <row r="812" spans="1:19" x14ac:dyDescent="0.3">
      <c r="A812" s="2" t="s">
        <v>985</v>
      </c>
      <c r="B812" s="2" t="s">
        <v>13</v>
      </c>
      <c r="C812" s="2" t="s">
        <v>323</v>
      </c>
      <c r="D812" s="3">
        <v>0.6875</v>
      </c>
      <c r="E812" s="3">
        <v>0.72916666666666696</v>
      </c>
      <c r="F812" s="2" t="s">
        <v>35</v>
      </c>
      <c r="G812" s="2" t="s">
        <v>73</v>
      </c>
      <c r="H812" s="2">
        <v>5</v>
      </c>
      <c r="I812" s="2" t="s">
        <v>986</v>
      </c>
      <c r="J812" s="2" t="s">
        <v>987</v>
      </c>
      <c r="K812" s="2"/>
      <c r="L812" s="2" t="str">
        <f>IFERROR(VLOOKUP(IFERROR(VLOOKUP(C812,'Destination Alias'!$A:$B,2,FALSE()),C812),'Best Months'!$A:$B,2,FALSE()),"Not listed")</f>
        <v>Jan–Mar, Jul–Aug</v>
      </c>
    </row>
    <row r="813" spans="1:19" x14ac:dyDescent="0.3">
      <c r="A813" s="2" t="s">
        <v>985</v>
      </c>
      <c r="B813" s="2" t="s">
        <v>13</v>
      </c>
      <c r="C813" s="2" t="s">
        <v>323</v>
      </c>
      <c r="D813" s="3">
        <v>0.75</v>
      </c>
      <c r="E813" s="3">
        <v>0.79166666666666696</v>
      </c>
      <c r="F813" s="2" t="s">
        <v>35</v>
      </c>
      <c r="G813" s="2" t="s">
        <v>102</v>
      </c>
      <c r="H813" s="2">
        <v>5</v>
      </c>
      <c r="I813" s="2" t="s">
        <v>986</v>
      </c>
      <c r="J813" s="2" t="s">
        <v>987</v>
      </c>
      <c r="K813" s="2"/>
      <c r="L813" s="2" t="str">
        <f>IFERROR(VLOOKUP(IFERROR(VLOOKUP(C813,'Destination Alias'!$A:$B,2,FALSE()),C813),'Best Months'!$A:$B,2,FALSE()),"Not listed")</f>
        <v>Jan–Mar, Jul–Aug</v>
      </c>
    </row>
    <row r="814" spans="1:19" x14ac:dyDescent="0.3">
      <c r="A814" s="2" t="s">
        <v>985</v>
      </c>
      <c r="B814" s="2" t="s">
        <v>13</v>
      </c>
      <c r="C814" s="2" t="s">
        <v>323</v>
      </c>
      <c r="D814" s="3">
        <v>0.3125</v>
      </c>
      <c r="E814" s="3">
        <v>0.35416666666666702</v>
      </c>
      <c r="F814" s="2" t="s">
        <v>35</v>
      </c>
      <c r="G814" s="2" t="s">
        <v>38</v>
      </c>
      <c r="H814" s="2">
        <v>4.2</v>
      </c>
      <c r="I814" s="2" t="s">
        <v>986</v>
      </c>
      <c r="J814" s="2" t="s">
        <v>987</v>
      </c>
      <c r="K814" s="2"/>
      <c r="L814" s="2" t="str">
        <f>IFERROR(VLOOKUP(IFERROR(VLOOKUP(C814,'Destination Alias'!$A:$B,2,FALSE()),C814),'Best Months'!$A:$B,2,FALSE()),"Not listed")</f>
        <v>Jan–Mar, Jul–Aug</v>
      </c>
    </row>
    <row r="815" spans="1:19" x14ac:dyDescent="0.3">
      <c r="A815" s="2" t="s">
        <v>985</v>
      </c>
      <c r="B815" s="2" t="s">
        <v>13</v>
      </c>
      <c r="C815" s="2" t="s">
        <v>323</v>
      </c>
      <c r="D815" s="3">
        <v>0.35416666666666702</v>
      </c>
      <c r="E815" s="3">
        <v>0.39583333333333298</v>
      </c>
      <c r="F815" s="2" t="s">
        <v>35</v>
      </c>
      <c r="G815" s="2" t="s">
        <v>16</v>
      </c>
      <c r="H815" s="2">
        <v>4.2</v>
      </c>
      <c r="I815" s="2" t="s">
        <v>986</v>
      </c>
      <c r="J815" s="2" t="s">
        <v>987</v>
      </c>
      <c r="K815" s="2"/>
      <c r="L815" s="2" t="str">
        <f>IFERROR(VLOOKUP(IFERROR(VLOOKUP(C815,'Destination Alias'!$A:$B,2,FALSE()),C815),'Best Months'!$A:$B,2,FALSE()),"Not listed")</f>
        <v>Jan–Mar, Jul–Aug</v>
      </c>
    </row>
    <row r="816" spans="1:19" x14ac:dyDescent="0.3">
      <c r="A816" s="2" t="s">
        <v>985</v>
      </c>
      <c r="B816" s="2" t="s">
        <v>13</v>
      </c>
      <c r="C816" s="2" t="s">
        <v>323</v>
      </c>
      <c r="D816" s="3">
        <v>0.39583333333333298</v>
      </c>
      <c r="E816" s="3">
        <v>0.4375</v>
      </c>
      <c r="F816" s="2" t="s">
        <v>35</v>
      </c>
      <c r="G816" s="2" t="s">
        <v>20</v>
      </c>
      <c r="H816" s="2">
        <v>4.2</v>
      </c>
      <c r="I816" s="2" t="s">
        <v>986</v>
      </c>
      <c r="J816" s="2" t="s">
        <v>987</v>
      </c>
      <c r="K816" s="2"/>
      <c r="L816" s="2" t="str">
        <f>IFERROR(VLOOKUP(IFERROR(VLOOKUP(C816,'Destination Alias'!$A:$B,2,FALSE()),C816),'Best Months'!$A:$B,2,FALSE()),"Not listed")</f>
        <v>Jan–Mar, Jul–Aug</v>
      </c>
    </row>
    <row r="817" spans="1:19" x14ac:dyDescent="0.3">
      <c r="A817" s="2" t="s">
        <v>988</v>
      </c>
      <c r="B817" s="2" t="s">
        <v>81</v>
      </c>
      <c r="C817" s="2" t="s">
        <v>14</v>
      </c>
      <c r="D817" s="3">
        <v>0.83333333333333304</v>
      </c>
      <c r="E817" s="3">
        <v>0.95833333333333304</v>
      </c>
      <c r="F817" s="2" t="s">
        <v>61</v>
      </c>
      <c r="G817" s="2" t="s">
        <v>380</v>
      </c>
      <c r="H817" s="2">
        <v>5</v>
      </c>
      <c r="I817" s="2" t="s">
        <v>989</v>
      </c>
      <c r="J817" s="2" t="s">
        <v>990</v>
      </c>
      <c r="K817" s="4" t="s">
        <v>991</v>
      </c>
      <c r="L817" s="2" t="str">
        <f>IFERROR(VLOOKUP(IFERROR(VLOOKUP(C817,'Destination Alias'!$A:$B,2,FALSE()),C817),'Best Months'!$A:$B,2,FALSE()),"Not listed")</f>
        <v>Dec–Mar</v>
      </c>
      <c r="S817" t="s">
        <v>991</v>
      </c>
    </row>
    <row r="818" spans="1:19" x14ac:dyDescent="0.3">
      <c r="A818" s="2" t="s">
        <v>988</v>
      </c>
      <c r="B818" s="2" t="s">
        <v>81</v>
      </c>
      <c r="C818" s="2" t="s">
        <v>14</v>
      </c>
      <c r="D818" s="3">
        <v>0.875</v>
      </c>
      <c r="E818" s="3">
        <v>3.125E-2</v>
      </c>
      <c r="F818" s="2" t="s">
        <v>61</v>
      </c>
      <c r="G818" s="2" t="s">
        <v>380</v>
      </c>
      <c r="H818" s="2">
        <v>5</v>
      </c>
      <c r="I818" s="2" t="s">
        <v>989</v>
      </c>
      <c r="J818" s="2" t="s">
        <v>990</v>
      </c>
      <c r="K818" s="4" t="s">
        <v>991</v>
      </c>
      <c r="L818" s="2" t="str">
        <f>IFERROR(VLOOKUP(IFERROR(VLOOKUP(C818,'Destination Alias'!$A:$B,2,FALSE()),C818),'Best Months'!$A:$B,2,FALSE()),"Not listed")</f>
        <v>Dec–Mar</v>
      </c>
      <c r="S818" t="s">
        <v>991</v>
      </c>
    </row>
    <row r="819" spans="1:19" x14ac:dyDescent="0.3">
      <c r="A819" s="2" t="s">
        <v>988</v>
      </c>
      <c r="B819" s="2" t="s">
        <v>81</v>
      </c>
      <c r="C819" s="2" t="s">
        <v>14</v>
      </c>
      <c r="D819" s="3">
        <v>0.91666666666666696</v>
      </c>
      <c r="E819" s="3">
        <v>4.1666666666666699E-2</v>
      </c>
      <c r="F819" s="2" t="s">
        <v>61</v>
      </c>
      <c r="G819" s="2" t="s">
        <v>380</v>
      </c>
      <c r="H819" s="2">
        <v>4.5999999999999996</v>
      </c>
      <c r="I819" s="2" t="s">
        <v>989</v>
      </c>
      <c r="J819" s="2" t="s">
        <v>990</v>
      </c>
      <c r="K819" s="4" t="s">
        <v>991</v>
      </c>
      <c r="L819" s="2" t="str">
        <f>IFERROR(VLOOKUP(IFERROR(VLOOKUP(C819,'Destination Alias'!$A:$B,2,FALSE()),C819),'Best Months'!$A:$B,2,FALSE()),"Not listed")</f>
        <v>Dec–Mar</v>
      </c>
      <c r="S819" t="s">
        <v>991</v>
      </c>
    </row>
    <row r="820" spans="1:19" x14ac:dyDescent="0.3">
      <c r="A820" s="2" t="s">
        <v>988</v>
      </c>
      <c r="B820" s="2" t="s">
        <v>81</v>
      </c>
      <c r="C820" s="2" t="s">
        <v>14</v>
      </c>
      <c r="D820" s="3">
        <v>0.85416666666666696</v>
      </c>
      <c r="E820" s="3">
        <v>0.97916666666666696</v>
      </c>
      <c r="F820" s="2" t="s">
        <v>61</v>
      </c>
      <c r="G820" s="2" t="s">
        <v>380</v>
      </c>
      <c r="H820" s="2">
        <v>4.5999999999999996</v>
      </c>
      <c r="I820" s="2" t="s">
        <v>989</v>
      </c>
      <c r="J820" s="2" t="s">
        <v>990</v>
      </c>
      <c r="K820" s="4" t="s">
        <v>991</v>
      </c>
      <c r="L820" s="2" t="str">
        <f>IFERROR(VLOOKUP(IFERROR(VLOOKUP(C820,'Destination Alias'!$A:$B,2,FALSE()),C820),'Best Months'!$A:$B,2,FALSE()),"Not listed")</f>
        <v>Dec–Mar</v>
      </c>
      <c r="S820" t="s">
        <v>991</v>
      </c>
    </row>
    <row r="821" spans="1:19" x14ac:dyDescent="0.3">
      <c r="A821" s="2" t="s">
        <v>988</v>
      </c>
      <c r="B821" s="2" t="s">
        <v>81</v>
      </c>
      <c r="C821" s="2" t="s">
        <v>14</v>
      </c>
      <c r="D821" s="3">
        <v>0.83333333333333304</v>
      </c>
      <c r="E821" s="3">
        <v>0.95833333333333304</v>
      </c>
      <c r="F821" s="2" t="s">
        <v>61</v>
      </c>
      <c r="G821" s="2" t="s">
        <v>380</v>
      </c>
      <c r="H821" s="2">
        <v>4.5999999999999996</v>
      </c>
      <c r="I821" s="2" t="s">
        <v>989</v>
      </c>
      <c r="J821" s="2" t="s">
        <v>990</v>
      </c>
      <c r="K821" s="4" t="s">
        <v>991</v>
      </c>
      <c r="L821" s="2" t="str">
        <f>IFERROR(VLOOKUP(IFERROR(VLOOKUP(C821,'Destination Alias'!$A:$B,2,FALSE()),C821),'Best Months'!$A:$B,2,FALSE()),"Not listed")</f>
        <v>Dec–Mar</v>
      </c>
      <c r="S821" t="s">
        <v>991</v>
      </c>
    </row>
    <row r="822" spans="1:19" x14ac:dyDescent="0.3">
      <c r="A822" s="2" t="s">
        <v>992</v>
      </c>
      <c r="B822" s="2" t="s">
        <v>22</v>
      </c>
      <c r="C822" s="2" t="s">
        <v>123</v>
      </c>
      <c r="D822" s="3">
        <v>0.375</v>
      </c>
      <c r="E822" s="3">
        <v>0.4375</v>
      </c>
      <c r="F822" s="2" t="s">
        <v>15</v>
      </c>
      <c r="G822" s="2" t="s">
        <v>20</v>
      </c>
      <c r="H822" s="2">
        <v>4.5999999999999996</v>
      </c>
      <c r="I822" s="2" t="s">
        <v>993</v>
      </c>
      <c r="J822" s="2" t="s">
        <v>994</v>
      </c>
      <c r="K822" s="2"/>
      <c r="L822" s="2" t="str">
        <f>IFERROR(VLOOKUP(IFERROR(VLOOKUP(C822,'Destination Alias'!$A:$B,2,FALSE()),C822),'Best Months'!$A:$B,2,FALSE()),"Not listed")</f>
        <v>Dec–Mar</v>
      </c>
    </row>
    <row r="823" spans="1:19" x14ac:dyDescent="0.3">
      <c r="A823" s="2" t="s">
        <v>992</v>
      </c>
      <c r="B823" s="2" t="s">
        <v>22</v>
      </c>
      <c r="C823" s="2" t="s">
        <v>123</v>
      </c>
      <c r="D823" s="3">
        <v>0.4375</v>
      </c>
      <c r="E823" s="3">
        <v>0.5</v>
      </c>
      <c r="F823" s="2" t="s">
        <v>15</v>
      </c>
      <c r="G823" s="2" t="s">
        <v>20</v>
      </c>
      <c r="H823" s="2">
        <v>4.5999999999999996</v>
      </c>
      <c r="I823" s="2" t="s">
        <v>993</v>
      </c>
      <c r="J823" s="2" t="s">
        <v>994</v>
      </c>
      <c r="K823" s="2"/>
      <c r="L823" s="2" t="str">
        <f>IFERROR(VLOOKUP(IFERROR(VLOOKUP(C823,'Destination Alias'!$A:$B,2,FALSE()),C823),'Best Months'!$A:$B,2,FALSE()),"Not listed")</f>
        <v>Dec–Mar</v>
      </c>
    </row>
    <row r="824" spans="1:19" x14ac:dyDescent="0.3">
      <c r="A824" s="2" t="s">
        <v>995</v>
      </c>
      <c r="B824" s="2" t="s">
        <v>22</v>
      </c>
      <c r="C824" s="2" t="s">
        <v>530</v>
      </c>
      <c r="D824" s="3">
        <v>0.3125</v>
      </c>
      <c r="E824" s="3">
        <v>0.375</v>
      </c>
      <c r="F824" s="2" t="s">
        <v>15</v>
      </c>
      <c r="G824" s="2" t="s">
        <v>38</v>
      </c>
      <c r="H824" s="2">
        <v>4.5999999999999996</v>
      </c>
      <c r="I824" s="2" t="s">
        <v>996</v>
      </c>
      <c r="J824" s="2" t="s">
        <v>997</v>
      </c>
      <c r="K824" s="2"/>
      <c r="L824" s="2" t="str">
        <f>IFERROR(VLOOKUP(IFERROR(VLOOKUP(C824,'Destination Alias'!$A:$B,2,FALSE()),C824),'Best Months'!$A:$B,2,FALSE()),"Not listed")</f>
        <v>Jan–Mar, Jul–Sep</v>
      </c>
    </row>
    <row r="825" spans="1:19" x14ac:dyDescent="0.3">
      <c r="A825" s="2" t="s">
        <v>995</v>
      </c>
      <c r="B825" s="2" t="s">
        <v>22</v>
      </c>
      <c r="C825" s="2" t="s">
        <v>530</v>
      </c>
      <c r="D825" s="3">
        <v>0.375</v>
      </c>
      <c r="E825" s="3">
        <v>0.4375</v>
      </c>
      <c r="F825" s="2" t="s">
        <v>15</v>
      </c>
      <c r="G825" s="2" t="s">
        <v>20</v>
      </c>
      <c r="H825" s="2">
        <v>4.5999999999999996</v>
      </c>
      <c r="I825" s="2" t="s">
        <v>996</v>
      </c>
      <c r="J825" s="2" t="s">
        <v>997</v>
      </c>
      <c r="K825" s="2"/>
      <c r="L825" s="2" t="str">
        <f>IFERROR(VLOOKUP(IFERROR(VLOOKUP(C825,'Destination Alias'!$A:$B,2,FALSE()),C825),'Best Months'!$A:$B,2,FALSE()),"Not listed")</f>
        <v>Jan–Mar, Jul–Sep</v>
      </c>
    </row>
    <row r="826" spans="1:19" x14ac:dyDescent="0.3">
      <c r="A826" s="2" t="s">
        <v>998</v>
      </c>
      <c r="B826" s="2" t="s">
        <v>81</v>
      </c>
      <c r="C826" s="2" t="s">
        <v>14</v>
      </c>
      <c r="D826" s="3">
        <v>0.35416666666666702</v>
      </c>
      <c r="E826" s="3">
        <v>0.4375</v>
      </c>
      <c r="F826" s="2" t="s">
        <v>51</v>
      </c>
      <c r="G826" s="2" t="s">
        <v>16</v>
      </c>
      <c r="H826" s="2">
        <v>4.5999999999999996</v>
      </c>
      <c r="I826" s="2" t="s">
        <v>999</v>
      </c>
      <c r="J826" s="2" t="s">
        <v>1000</v>
      </c>
      <c r="K826" s="4" t="s">
        <v>1001</v>
      </c>
      <c r="L826" s="2" t="str">
        <f>IFERROR(VLOOKUP(IFERROR(VLOOKUP(C826,'Destination Alias'!$A:$B,2,FALSE()),C826),'Best Months'!$A:$B,2,FALSE()),"Not listed")</f>
        <v>Dec–Mar</v>
      </c>
      <c r="S826" t="s">
        <v>1001</v>
      </c>
    </row>
    <row r="827" spans="1:19" x14ac:dyDescent="0.3">
      <c r="A827" s="2" t="s">
        <v>1002</v>
      </c>
      <c r="B827" s="2" t="s">
        <v>49</v>
      </c>
      <c r="C827" s="2" t="s">
        <v>108</v>
      </c>
      <c r="D827" s="3">
        <v>0.625</v>
      </c>
      <c r="E827" s="3">
        <v>0.79166666666666696</v>
      </c>
      <c r="F827" s="2" t="s">
        <v>129</v>
      </c>
      <c r="G827" s="2" t="s">
        <v>73</v>
      </c>
      <c r="H827" s="2">
        <v>5</v>
      </c>
      <c r="I827" s="2" t="s">
        <v>1003</v>
      </c>
      <c r="J827" s="2" t="s">
        <v>1004</v>
      </c>
      <c r="K827" s="4" t="s">
        <v>1005</v>
      </c>
      <c r="L827" s="2" t="str">
        <f>IFERROR(VLOOKUP(IFERROR(VLOOKUP(C827,'Destination Alias'!$A:$B,2,FALSE()),C827),'Best Months'!$A:$B,2,FALSE()),"Not listed")</f>
        <v>Jan–Mar, Jul–Aug</v>
      </c>
      <c r="S827" t="s">
        <v>1005</v>
      </c>
    </row>
    <row r="828" spans="1:19" x14ac:dyDescent="0.3">
      <c r="A828" s="2" t="s">
        <v>1002</v>
      </c>
      <c r="B828" s="2" t="s">
        <v>49</v>
      </c>
      <c r="C828" s="2" t="s">
        <v>108</v>
      </c>
      <c r="D828" s="3">
        <v>0.66666666666666696</v>
      </c>
      <c r="E828" s="3">
        <v>0.83333333333333304</v>
      </c>
      <c r="F828" s="2" t="s">
        <v>129</v>
      </c>
      <c r="G828" s="2" t="s">
        <v>73</v>
      </c>
      <c r="H828" s="2">
        <v>3</v>
      </c>
      <c r="I828" s="2" t="s">
        <v>1003</v>
      </c>
      <c r="J828" s="2" t="s">
        <v>1004</v>
      </c>
      <c r="K828" s="4" t="s">
        <v>1005</v>
      </c>
      <c r="L828" s="2" t="str">
        <f>IFERROR(VLOOKUP(IFERROR(VLOOKUP(C828,'Destination Alias'!$A:$B,2,FALSE()),C828),'Best Months'!$A:$B,2,FALSE()),"Not listed")</f>
        <v>Jan–Mar, Jul–Aug</v>
      </c>
      <c r="S828" t="s">
        <v>1005</v>
      </c>
    </row>
    <row r="829" spans="1:19" x14ac:dyDescent="0.3">
      <c r="A829" s="2" t="s">
        <v>1002</v>
      </c>
      <c r="B829" s="2" t="s">
        <v>49</v>
      </c>
      <c r="C829" s="2" t="s">
        <v>108</v>
      </c>
      <c r="D829" s="3">
        <v>0.25</v>
      </c>
      <c r="E829" s="3">
        <v>0.33333333333333298</v>
      </c>
      <c r="F829" s="2" t="s">
        <v>129</v>
      </c>
      <c r="G829" s="2" t="s">
        <v>28</v>
      </c>
      <c r="H829" s="2">
        <v>4.4000000000000004</v>
      </c>
      <c r="I829" s="2" t="s">
        <v>1003</v>
      </c>
      <c r="J829" s="2" t="s">
        <v>1004</v>
      </c>
      <c r="K829" s="4" t="s">
        <v>1005</v>
      </c>
      <c r="L829" s="2" t="str">
        <f>IFERROR(VLOOKUP(IFERROR(VLOOKUP(C829,'Destination Alias'!$A:$B,2,FALSE()),C829),'Best Months'!$A:$B,2,FALSE()),"Not listed")</f>
        <v>Jan–Mar, Jul–Aug</v>
      </c>
      <c r="S829" t="s">
        <v>1005</v>
      </c>
    </row>
    <row r="830" spans="1:19" x14ac:dyDescent="0.3">
      <c r="A830" s="2" t="s">
        <v>1002</v>
      </c>
      <c r="B830" s="2" t="s">
        <v>49</v>
      </c>
      <c r="C830" s="2" t="s">
        <v>108</v>
      </c>
      <c r="D830" s="3">
        <v>0.3125</v>
      </c>
      <c r="E830" s="3">
        <v>0.47916666666666702</v>
      </c>
      <c r="F830" s="2" t="s">
        <v>129</v>
      </c>
      <c r="G830" s="2" t="s">
        <v>38</v>
      </c>
      <c r="H830" s="2">
        <v>4.4000000000000004</v>
      </c>
      <c r="I830" s="2" t="s">
        <v>1003</v>
      </c>
      <c r="J830" s="2" t="s">
        <v>1004</v>
      </c>
      <c r="K830" s="4" t="s">
        <v>1005</v>
      </c>
      <c r="L830" s="2" t="str">
        <f>IFERROR(VLOOKUP(IFERROR(VLOOKUP(C830,'Destination Alias'!$A:$B,2,FALSE()),C830),'Best Months'!$A:$B,2,FALSE()),"Not listed")</f>
        <v>Jan–Mar, Jul–Aug</v>
      </c>
      <c r="S830" t="s">
        <v>1005</v>
      </c>
    </row>
    <row r="831" spans="1:19" x14ac:dyDescent="0.3">
      <c r="A831" s="2" t="s">
        <v>1006</v>
      </c>
      <c r="B831" s="2" t="s">
        <v>49</v>
      </c>
      <c r="C831" s="2" t="s">
        <v>23</v>
      </c>
      <c r="D831" s="3">
        <v>0.66666666666666696</v>
      </c>
      <c r="E831" s="3">
        <v>0.70833333333333304</v>
      </c>
      <c r="F831" s="2" t="s">
        <v>35</v>
      </c>
      <c r="G831" s="2" t="s">
        <v>73</v>
      </c>
      <c r="H831" s="2">
        <v>4.5</v>
      </c>
      <c r="I831" s="2" t="s">
        <v>1007</v>
      </c>
      <c r="J831" s="2" t="s">
        <v>1008</v>
      </c>
      <c r="K831" s="4" t="s">
        <v>1009</v>
      </c>
      <c r="L831" s="2" t="str">
        <f>IFERROR(VLOOKUP(IFERROR(VLOOKUP(C831,'Destination Alias'!$A:$B,2,FALSE()),C831),'Best Months'!$A:$B,2,FALSE()),"Not listed")</f>
        <v>Dec–Mar</v>
      </c>
      <c r="S831" t="s">
        <v>1009</v>
      </c>
    </row>
    <row r="832" spans="1:19" x14ac:dyDescent="0.3">
      <c r="A832" s="2" t="s">
        <v>1006</v>
      </c>
      <c r="B832" s="2" t="s">
        <v>49</v>
      </c>
      <c r="C832" s="2" t="s">
        <v>23</v>
      </c>
      <c r="D832" s="3">
        <v>0.70833333333333304</v>
      </c>
      <c r="E832" s="3">
        <v>0.75</v>
      </c>
      <c r="F832" s="2" t="s">
        <v>35</v>
      </c>
      <c r="G832" s="2" t="s">
        <v>52</v>
      </c>
      <c r="H832" s="2">
        <v>4.5</v>
      </c>
      <c r="I832" s="2" t="s">
        <v>1007</v>
      </c>
      <c r="J832" s="2" t="s">
        <v>1008</v>
      </c>
      <c r="K832" s="4" t="s">
        <v>1009</v>
      </c>
      <c r="L832" s="2" t="str">
        <f>IFERROR(VLOOKUP(IFERROR(VLOOKUP(C832,'Destination Alias'!$A:$B,2,FALSE()),C832),'Best Months'!$A:$B,2,FALSE()),"Not listed")</f>
        <v>Dec–Mar</v>
      </c>
      <c r="S832" t="s">
        <v>1009</v>
      </c>
    </row>
    <row r="833" spans="1:19" x14ac:dyDescent="0.3">
      <c r="A833" s="2" t="s">
        <v>1010</v>
      </c>
      <c r="B833" s="2" t="s">
        <v>81</v>
      </c>
      <c r="C833" s="2" t="s">
        <v>163</v>
      </c>
      <c r="D833" s="3">
        <v>0.29166666666666702</v>
      </c>
      <c r="E833" s="3">
        <v>0.375</v>
      </c>
      <c r="F833" s="2" t="s">
        <v>51</v>
      </c>
      <c r="G833" s="2" t="s">
        <v>38</v>
      </c>
      <c r="H833" s="2">
        <v>4.4000000000000004</v>
      </c>
      <c r="I833" s="2" t="s">
        <v>1011</v>
      </c>
      <c r="J833" s="2" t="s">
        <v>1012</v>
      </c>
      <c r="K833" s="4" t="s">
        <v>1013</v>
      </c>
      <c r="L833" s="2" t="str">
        <f>IFERROR(VLOOKUP(IFERROR(VLOOKUP(C833,'Destination Alias'!$A:$B,2,FALSE()),C833),'Best Months'!$A:$B,2,FALSE()),"Not listed")</f>
        <v>Dec–Mar</v>
      </c>
      <c r="S833" t="s">
        <v>1013</v>
      </c>
    </row>
    <row r="834" spans="1:19" x14ac:dyDescent="0.3">
      <c r="A834" s="2" t="s">
        <v>1014</v>
      </c>
      <c r="B834" s="2" t="s">
        <v>241</v>
      </c>
      <c r="C834" s="2" t="s">
        <v>163</v>
      </c>
      <c r="D834" s="3">
        <v>0.33333333333333298</v>
      </c>
      <c r="E834" s="3">
        <v>0.45833333333333298</v>
      </c>
      <c r="F834" s="2" t="s">
        <v>61</v>
      </c>
      <c r="G834" s="2" t="s">
        <v>16</v>
      </c>
      <c r="H834" s="2">
        <v>4.2</v>
      </c>
      <c r="I834" s="2" t="s">
        <v>1015</v>
      </c>
      <c r="J834" s="2" t="s">
        <v>1016</v>
      </c>
      <c r="K834" s="4" t="s">
        <v>1017</v>
      </c>
      <c r="L834" s="2" t="str">
        <f>IFERROR(VLOOKUP(IFERROR(VLOOKUP(C834,'Destination Alias'!$A:$B,2,FALSE()),C834),'Best Months'!$A:$B,2,FALSE()),"Not listed")</f>
        <v>Dec–Mar</v>
      </c>
      <c r="S834" t="s">
        <v>1017</v>
      </c>
    </row>
    <row r="835" spans="1:19" x14ac:dyDescent="0.3">
      <c r="A835" s="2" t="s">
        <v>1018</v>
      </c>
      <c r="B835" s="2" t="s">
        <v>22</v>
      </c>
      <c r="C835" s="2" t="s">
        <v>27</v>
      </c>
      <c r="D835" s="3">
        <v>0.27083333333333298</v>
      </c>
      <c r="E835" s="3">
        <v>0.35416666666666702</v>
      </c>
      <c r="F835" s="2" t="s">
        <v>51</v>
      </c>
      <c r="G835" s="2" t="s">
        <v>28</v>
      </c>
      <c r="H835" s="2">
        <v>4.4000000000000004</v>
      </c>
      <c r="I835" s="2" t="s">
        <v>1019</v>
      </c>
      <c r="J835" s="2" t="s">
        <v>1020</v>
      </c>
      <c r="K835" s="2"/>
      <c r="L835" s="2" t="str">
        <f>IFERROR(VLOOKUP(IFERROR(VLOOKUP(C835,'Destination Alias'!$A:$B,2,FALSE()),C835),'Best Months'!$A:$B,2,FALSE()),"Not listed")</f>
        <v>May–Sep</v>
      </c>
    </row>
    <row r="836" spans="1:19" x14ac:dyDescent="0.3">
      <c r="A836" s="2" t="s">
        <v>1021</v>
      </c>
      <c r="B836" s="2" t="s">
        <v>22</v>
      </c>
      <c r="C836" s="2" t="s">
        <v>50</v>
      </c>
      <c r="D836" s="3">
        <v>0.6875</v>
      </c>
      <c r="E836" s="3">
        <v>0.71875</v>
      </c>
      <c r="F836" s="2" t="s">
        <v>90</v>
      </c>
      <c r="G836" s="2" t="s">
        <v>73</v>
      </c>
      <c r="H836" s="2">
        <v>4.5999999999999996</v>
      </c>
      <c r="I836" s="2" t="s">
        <v>1022</v>
      </c>
      <c r="J836" s="2" t="s">
        <v>1023</v>
      </c>
      <c r="K836" s="4" t="s">
        <v>1024</v>
      </c>
      <c r="L836" s="2" t="str">
        <f>IFERROR(VLOOKUP(IFERROR(VLOOKUP(C836,'Destination Alias'!$A:$B,2,FALSE()),C836),'Best Months'!$A:$B,2,FALSE()),"Not listed")</f>
        <v>Dec–Mar</v>
      </c>
      <c r="S836" t="s">
        <v>1024</v>
      </c>
    </row>
    <row r="837" spans="1:19" x14ac:dyDescent="0.3">
      <c r="A837" s="2" t="s">
        <v>1021</v>
      </c>
      <c r="B837" s="2" t="s">
        <v>22</v>
      </c>
      <c r="C837" s="2" t="s">
        <v>50</v>
      </c>
      <c r="D837" s="3">
        <v>0.71875</v>
      </c>
      <c r="E837" s="3">
        <v>0.75</v>
      </c>
      <c r="F837" s="2" t="s">
        <v>90</v>
      </c>
      <c r="G837" s="2" t="s">
        <v>52</v>
      </c>
      <c r="H837" s="2">
        <v>4.5999999999999996</v>
      </c>
      <c r="I837" s="2" t="s">
        <v>1022</v>
      </c>
      <c r="J837" s="2" t="s">
        <v>1023</v>
      </c>
      <c r="K837" s="4" t="s">
        <v>1024</v>
      </c>
      <c r="L837" s="2" t="str">
        <f>IFERROR(VLOOKUP(IFERROR(VLOOKUP(C837,'Destination Alias'!$A:$B,2,FALSE()),C837),'Best Months'!$A:$B,2,FALSE()),"Not listed")</f>
        <v>Dec–Mar</v>
      </c>
      <c r="S837" t="s">
        <v>1024</v>
      </c>
    </row>
    <row r="838" spans="1:19" x14ac:dyDescent="0.3">
      <c r="A838" s="2" t="s">
        <v>1025</v>
      </c>
      <c r="B838" s="2" t="s">
        <v>13</v>
      </c>
      <c r="C838" s="2" t="s">
        <v>27</v>
      </c>
      <c r="D838" s="3">
        <v>0.22916666666666699</v>
      </c>
      <c r="E838" s="3">
        <v>0.29166666666666702</v>
      </c>
      <c r="F838" s="2" t="s">
        <v>15</v>
      </c>
      <c r="G838" s="2" t="s">
        <v>28</v>
      </c>
      <c r="H838" s="2">
        <v>4.0999999999999996</v>
      </c>
      <c r="I838" s="2" t="s">
        <v>1026</v>
      </c>
      <c r="J838" s="2" t="s">
        <v>1027</v>
      </c>
      <c r="K838" s="2"/>
      <c r="L838" s="2" t="str">
        <f>IFERROR(VLOOKUP(IFERROR(VLOOKUP(C838,'Destination Alias'!$A:$B,2,FALSE()),C838),'Best Months'!$A:$B,2,FALSE()),"Not listed")</f>
        <v>May–Sep</v>
      </c>
    </row>
    <row r="839" spans="1:19" x14ac:dyDescent="0.3">
      <c r="A839" s="2" t="s">
        <v>1025</v>
      </c>
      <c r="B839" s="2" t="s">
        <v>13</v>
      </c>
      <c r="C839" s="2" t="s">
        <v>27</v>
      </c>
      <c r="D839" s="3">
        <v>0.29166666666666702</v>
      </c>
      <c r="E839" s="3">
        <v>0.35416666666666702</v>
      </c>
      <c r="F839" s="2" t="s">
        <v>15</v>
      </c>
      <c r="G839" s="2" t="s">
        <v>38</v>
      </c>
      <c r="H839" s="2">
        <v>4.0999999999999996</v>
      </c>
      <c r="I839" s="2" t="s">
        <v>1026</v>
      </c>
      <c r="J839" s="2" t="s">
        <v>1027</v>
      </c>
      <c r="K839" s="2"/>
      <c r="L839" s="2" t="str">
        <f>IFERROR(VLOOKUP(IFERROR(VLOOKUP(C839,'Destination Alias'!$A:$B,2,FALSE()),C839),'Best Months'!$A:$B,2,FALSE()),"Not listed")</f>
        <v>May–Sep</v>
      </c>
    </row>
    <row r="840" spans="1:19" x14ac:dyDescent="0.3">
      <c r="A840" s="2" t="s">
        <v>1028</v>
      </c>
      <c r="B840" s="2" t="s">
        <v>49</v>
      </c>
      <c r="C840" s="2" t="s">
        <v>23</v>
      </c>
      <c r="D840" s="3">
        <v>0.375</v>
      </c>
      <c r="E840" s="3">
        <v>0.45833333333333298</v>
      </c>
      <c r="F840" s="2" t="s">
        <v>51</v>
      </c>
      <c r="G840" s="2" t="s">
        <v>20</v>
      </c>
      <c r="H840" s="2">
        <v>4.5</v>
      </c>
      <c r="I840" s="2" t="s">
        <v>1029</v>
      </c>
      <c r="J840" s="2" t="s">
        <v>1030</v>
      </c>
      <c r="K840" s="4" t="s">
        <v>1031</v>
      </c>
      <c r="L840" s="2" t="str">
        <f>IFERROR(VLOOKUP(IFERROR(VLOOKUP(C840,'Destination Alias'!$A:$B,2,FALSE()),C840),'Best Months'!$A:$B,2,FALSE()),"Not listed")</f>
        <v>Dec–Mar</v>
      </c>
      <c r="S840" t="s">
        <v>1031</v>
      </c>
    </row>
    <row r="841" spans="1:19" x14ac:dyDescent="0.3">
      <c r="A841" s="2" t="s">
        <v>1032</v>
      </c>
      <c r="B841" s="2" t="s">
        <v>49</v>
      </c>
      <c r="C841" s="2" t="s">
        <v>50</v>
      </c>
      <c r="D841" s="3">
        <v>0.66666666666666696</v>
      </c>
      <c r="E841" s="3">
        <v>0.70833333333333304</v>
      </c>
      <c r="F841" s="2" t="s">
        <v>35</v>
      </c>
      <c r="G841" s="2" t="s">
        <v>73</v>
      </c>
      <c r="H841" s="2">
        <v>4.5</v>
      </c>
      <c r="I841" s="2" t="s">
        <v>1007</v>
      </c>
      <c r="J841" s="2" t="s">
        <v>1033</v>
      </c>
      <c r="K841" s="4" t="s">
        <v>1034</v>
      </c>
      <c r="L841" s="2" t="str">
        <f>IFERROR(VLOOKUP(IFERROR(VLOOKUP(C841,'Destination Alias'!$A:$B,2,FALSE()),C841),'Best Months'!$A:$B,2,FALSE()),"Not listed")</f>
        <v>Dec–Mar</v>
      </c>
      <c r="S841" t="s">
        <v>1034</v>
      </c>
    </row>
    <row r="842" spans="1:19" x14ac:dyDescent="0.3">
      <c r="A842" s="2" t="s">
        <v>1032</v>
      </c>
      <c r="B842" s="2" t="s">
        <v>49</v>
      </c>
      <c r="C842" s="2" t="s">
        <v>50</v>
      </c>
      <c r="D842" s="3">
        <v>0.70833333333333304</v>
      </c>
      <c r="E842" s="3">
        <v>0.75</v>
      </c>
      <c r="F842" s="2" t="s">
        <v>35</v>
      </c>
      <c r="G842" s="2" t="s">
        <v>52</v>
      </c>
      <c r="H842" s="2">
        <v>4.5</v>
      </c>
      <c r="I842" s="2" t="s">
        <v>1007</v>
      </c>
      <c r="J842" s="2" t="s">
        <v>1033</v>
      </c>
      <c r="K842" s="4" t="s">
        <v>1034</v>
      </c>
      <c r="L842" s="2" t="str">
        <f>IFERROR(VLOOKUP(IFERROR(VLOOKUP(C842,'Destination Alias'!$A:$B,2,FALSE()),C842),'Best Months'!$A:$B,2,FALSE()),"Not listed")</f>
        <v>Dec–Mar</v>
      </c>
      <c r="S842" t="s">
        <v>1034</v>
      </c>
    </row>
    <row r="843" spans="1:19" x14ac:dyDescent="0.3">
      <c r="A843" s="2" t="s">
        <v>1035</v>
      </c>
      <c r="B843" s="2" t="s">
        <v>49</v>
      </c>
      <c r="C843" s="2" t="s">
        <v>734</v>
      </c>
      <c r="D843" s="3">
        <v>0.6875</v>
      </c>
      <c r="E843" s="3">
        <v>0.72916666666666696</v>
      </c>
      <c r="F843" s="2" t="s">
        <v>35</v>
      </c>
      <c r="G843" s="2" t="s">
        <v>73</v>
      </c>
      <c r="H843" s="2">
        <v>4.5</v>
      </c>
      <c r="I843" s="2" t="s">
        <v>1036</v>
      </c>
      <c r="J843" s="2" t="s">
        <v>1037</v>
      </c>
      <c r="K843" s="4" t="s">
        <v>1038</v>
      </c>
      <c r="L843" s="2" t="str">
        <f>IFERROR(VLOOKUP(IFERROR(VLOOKUP(C843,'Destination Alias'!$A:$B,2,FALSE()),C843),'Best Months'!$A:$B,2,FALSE()),"Not listed")</f>
        <v>May–Sep</v>
      </c>
      <c r="S843" t="s">
        <v>1038</v>
      </c>
    </row>
    <row r="844" spans="1:19" x14ac:dyDescent="0.3">
      <c r="A844" s="2" t="s">
        <v>1035</v>
      </c>
      <c r="B844" s="2" t="s">
        <v>49</v>
      </c>
      <c r="C844" s="2" t="s">
        <v>734</v>
      </c>
      <c r="D844" s="3">
        <v>0.72916666666666696</v>
      </c>
      <c r="E844" s="3">
        <v>0.77083333333333304</v>
      </c>
      <c r="F844" s="2" t="s">
        <v>35</v>
      </c>
      <c r="G844" s="2" t="s">
        <v>52</v>
      </c>
      <c r="H844" s="2">
        <v>4.5</v>
      </c>
      <c r="I844" s="2" t="s">
        <v>1036</v>
      </c>
      <c r="J844" s="2" t="s">
        <v>1037</v>
      </c>
      <c r="K844" s="4" t="s">
        <v>1038</v>
      </c>
      <c r="L844" s="2" t="str">
        <f>IFERROR(VLOOKUP(IFERROR(VLOOKUP(C844,'Destination Alias'!$A:$B,2,FALSE()),C844),'Best Months'!$A:$B,2,FALSE()),"Not listed")</f>
        <v>May–Sep</v>
      </c>
      <c r="S844" t="s">
        <v>1038</v>
      </c>
    </row>
    <row r="845" spans="1:19" x14ac:dyDescent="0.3">
      <c r="A845" s="2" t="s">
        <v>1039</v>
      </c>
      <c r="B845" s="2" t="s">
        <v>22</v>
      </c>
      <c r="C845" s="2" t="s">
        <v>50</v>
      </c>
      <c r="D845" s="3">
        <v>0.70833333333333304</v>
      </c>
      <c r="E845" s="3">
        <v>0.73958333333333304</v>
      </c>
      <c r="F845" s="2" t="s">
        <v>90</v>
      </c>
      <c r="G845" s="2" t="s">
        <v>52</v>
      </c>
      <c r="H845" s="2">
        <v>4.5999999999999996</v>
      </c>
      <c r="I845" s="2" t="s">
        <v>1040</v>
      </c>
      <c r="J845" s="2" t="s">
        <v>1041</v>
      </c>
      <c r="K845" s="2"/>
      <c r="L845" s="2" t="str">
        <f>IFERROR(VLOOKUP(IFERROR(VLOOKUP(C845,'Destination Alias'!$A:$B,2,FALSE()),C845),'Best Months'!$A:$B,2,FALSE()),"Not listed")</f>
        <v>Dec–Mar</v>
      </c>
    </row>
    <row r="846" spans="1:19" x14ac:dyDescent="0.3">
      <c r="A846" s="2" t="s">
        <v>1039</v>
      </c>
      <c r="B846" s="2" t="s">
        <v>22</v>
      </c>
      <c r="C846" s="2" t="s">
        <v>50</v>
      </c>
      <c r="D846" s="3">
        <v>0.73958333333333304</v>
      </c>
      <c r="E846" s="3">
        <v>0.77083333333333304</v>
      </c>
      <c r="F846" s="2" t="s">
        <v>90</v>
      </c>
      <c r="G846" s="2" t="s">
        <v>52</v>
      </c>
      <c r="H846" s="2">
        <v>4.5999999999999996</v>
      </c>
      <c r="I846" s="2" t="s">
        <v>1040</v>
      </c>
      <c r="J846" s="2" t="s">
        <v>1041</v>
      </c>
      <c r="K846" s="2"/>
      <c r="L846" s="2" t="str">
        <f>IFERROR(VLOOKUP(IFERROR(VLOOKUP(C846,'Destination Alias'!$A:$B,2,FALSE()),C846),'Best Months'!$A:$B,2,FALSE()),"Not listed")</f>
        <v>Dec–Mar</v>
      </c>
    </row>
    <row r="847" spans="1:19" x14ac:dyDescent="0.3">
      <c r="A847" s="2" t="s">
        <v>1042</v>
      </c>
      <c r="B847" s="2" t="s">
        <v>49</v>
      </c>
      <c r="C847" s="2" t="s">
        <v>108</v>
      </c>
      <c r="D847" s="3">
        <v>0.375</v>
      </c>
      <c r="E847" s="3">
        <v>0.47916666666666702</v>
      </c>
      <c r="F847" s="2" t="s">
        <v>430</v>
      </c>
      <c r="G847" s="2" t="s">
        <v>20</v>
      </c>
      <c r="H847" s="2">
        <v>4.5</v>
      </c>
      <c r="I847" s="2" t="s">
        <v>1043</v>
      </c>
      <c r="J847" s="2" t="s">
        <v>1044</v>
      </c>
      <c r="K847" s="4" t="s">
        <v>1045</v>
      </c>
      <c r="L847" s="2" t="str">
        <f>IFERROR(VLOOKUP(IFERROR(VLOOKUP(C847,'Destination Alias'!$A:$B,2,FALSE()),C847),'Best Months'!$A:$B,2,FALSE()),"Not listed")</f>
        <v>Jan–Mar, Jul–Aug</v>
      </c>
      <c r="S847" t="s">
        <v>1045</v>
      </c>
    </row>
    <row r="848" spans="1:19" x14ac:dyDescent="0.3">
      <c r="A848" s="2" t="s">
        <v>1046</v>
      </c>
      <c r="B848" s="2" t="s">
        <v>13</v>
      </c>
      <c r="C848" s="2" t="s">
        <v>27</v>
      </c>
      <c r="D848" s="3">
        <v>0.27083333333333298</v>
      </c>
      <c r="E848" s="3">
        <v>0.39583333333333298</v>
      </c>
      <c r="F848" s="2" t="s">
        <v>61</v>
      </c>
      <c r="G848" s="2" t="s">
        <v>28</v>
      </c>
      <c r="H848" s="2">
        <v>5</v>
      </c>
      <c r="I848" s="2" t="s">
        <v>1047</v>
      </c>
      <c r="J848" s="2" t="s">
        <v>1048</v>
      </c>
      <c r="K848" s="2"/>
      <c r="L848" s="2" t="str">
        <f>IFERROR(VLOOKUP(IFERROR(VLOOKUP(C848,'Destination Alias'!$A:$B,2,FALSE()),C848),'Best Months'!$A:$B,2,FALSE()),"Not listed")</f>
        <v>May–Sep</v>
      </c>
    </row>
    <row r="849" spans="1:19" x14ac:dyDescent="0.3">
      <c r="A849" s="2" t="s">
        <v>1046</v>
      </c>
      <c r="B849" s="2" t="s">
        <v>13</v>
      </c>
      <c r="C849" s="2" t="s">
        <v>27</v>
      </c>
      <c r="D849" s="3">
        <v>0.66666666666666696</v>
      </c>
      <c r="E849" s="3">
        <v>0.79166666666666696</v>
      </c>
      <c r="F849" s="2" t="s">
        <v>61</v>
      </c>
      <c r="G849" s="2" t="s">
        <v>73</v>
      </c>
      <c r="H849" s="2">
        <v>5</v>
      </c>
      <c r="I849" s="2" t="s">
        <v>1047</v>
      </c>
      <c r="J849" s="2" t="s">
        <v>1048</v>
      </c>
      <c r="K849" s="2"/>
      <c r="L849" s="2" t="str">
        <f>IFERROR(VLOOKUP(IFERROR(VLOOKUP(C849,'Destination Alias'!$A:$B,2,FALSE()),C849),'Best Months'!$A:$B,2,FALSE()),"Not listed")</f>
        <v>May–Sep</v>
      </c>
    </row>
    <row r="850" spans="1:19" x14ac:dyDescent="0.3">
      <c r="A850" s="2" t="s">
        <v>1046</v>
      </c>
      <c r="B850" s="2" t="s">
        <v>13</v>
      </c>
      <c r="C850" s="2" t="s">
        <v>27</v>
      </c>
      <c r="D850" s="3">
        <v>0.25</v>
      </c>
      <c r="E850" s="3">
        <v>0.375</v>
      </c>
      <c r="F850" s="2" t="s">
        <v>61</v>
      </c>
      <c r="G850" s="2" t="s">
        <v>28</v>
      </c>
      <c r="H850" s="2">
        <v>4.4000000000000004</v>
      </c>
      <c r="I850" s="2" t="s">
        <v>1047</v>
      </c>
      <c r="J850" s="2" t="s">
        <v>1048</v>
      </c>
      <c r="K850" s="2"/>
      <c r="L850" s="2" t="str">
        <f>IFERROR(VLOOKUP(IFERROR(VLOOKUP(C850,'Destination Alias'!$A:$B,2,FALSE()),C850),'Best Months'!$A:$B,2,FALSE()),"Not listed")</f>
        <v>May–Sep</v>
      </c>
    </row>
    <row r="851" spans="1:19" x14ac:dyDescent="0.3">
      <c r="A851" s="2" t="s">
        <v>1049</v>
      </c>
      <c r="B851" s="2" t="s">
        <v>13</v>
      </c>
      <c r="C851" s="2" t="s">
        <v>108</v>
      </c>
      <c r="D851" s="3">
        <v>0.375</v>
      </c>
      <c r="E851" s="3">
        <v>0.45833333333333298</v>
      </c>
      <c r="F851" s="2" t="s">
        <v>51</v>
      </c>
      <c r="G851" s="2" t="s">
        <v>20</v>
      </c>
      <c r="H851" s="2">
        <v>4.3</v>
      </c>
      <c r="I851" s="2" t="s">
        <v>1050</v>
      </c>
      <c r="J851" s="2" t="s">
        <v>1051</v>
      </c>
      <c r="K851" s="4" t="s">
        <v>1052</v>
      </c>
      <c r="L851" s="2" t="str">
        <f>IFERROR(VLOOKUP(IFERROR(VLOOKUP(C851,'Destination Alias'!$A:$B,2,FALSE()),C851),'Best Months'!$A:$B,2,FALSE()),"Not listed")</f>
        <v>Jan–Mar, Jul–Aug</v>
      </c>
      <c r="S851" t="s">
        <v>1052</v>
      </c>
    </row>
    <row r="852" spans="1:19" x14ac:dyDescent="0.3">
      <c r="A852" s="2" t="s">
        <v>1053</v>
      </c>
      <c r="B852" s="2" t="s">
        <v>13</v>
      </c>
      <c r="C852" s="2" t="s">
        <v>213</v>
      </c>
      <c r="D852" s="3">
        <v>0.22916666666666699</v>
      </c>
      <c r="E852" s="3">
        <v>0.27083333333333298</v>
      </c>
      <c r="F852" s="2" t="s">
        <v>35</v>
      </c>
      <c r="G852" s="2" t="s">
        <v>28</v>
      </c>
      <c r="H852" s="2">
        <v>4</v>
      </c>
      <c r="I852" s="2" t="s">
        <v>1054</v>
      </c>
      <c r="J852" s="2" t="s">
        <v>1055</v>
      </c>
      <c r="K852" s="4" t="s">
        <v>1056</v>
      </c>
      <c r="L852" s="2" t="str">
        <f>IFERROR(VLOOKUP(IFERROR(VLOOKUP(C852,'Destination Alias'!$A:$B,2,FALSE()),C852),'Best Months'!$A:$B,2,FALSE()),"Not listed")</f>
        <v>Jan–Mar</v>
      </c>
      <c r="S852" t="s">
        <v>1056</v>
      </c>
    </row>
    <row r="853" spans="1:19" x14ac:dyDescent="0.3">
      <c r="A853" s="2" t="s">
        <v>1053</v>
      </c>
      <c r="B853" s="2" t="s">
        <v>13</v>
      </c>
      <c r="C853" s="2" t="s">
        <v>213</v>
      </c>
      <c r="D853" s="3">
        <v>0.27083333333333298</v>
      </c>
      <c r="E853" s="3">
        <v>0.3125</v>
      </c>
      <c r="F853" s="2" t="s">
        <v>35</v>
      </c>
      <c r="G853" s="2" t="s">
        <v>28</v>
      </c>
      <c r="H853" s="2">
        <v>4</v>
      </c>
      <c r="I853" s="2" t="s">
        <v>1054</v>
      </c>
      <c r="J853" s="2" t="s">
        <v>1055</v>
      </c>
      <c r="K853" s="4" t="s">
        <v>1056</v>
      </c>
      <c r="L853" s="2" t="str">
        <f>IFERROR(VLOOKUP(IFERROR(VLOOKUP(C853,'Destination Alias'!$A:$B,2,FALSE()),C853),'Best Months'!$A:$B,2,FALSE()),"Not listed")</f>
        <v>Jan–Mar</v>
      </c>
      <c r="S853" t="s">
        <v>1056</v>
      </c>
    </row>
    <row r="854" spans="1:19" x14ac:dyDescent="0.3">
      <c r="A854" s="2" t="s">
        <v>1053</v>
      </c>
      <c r="B854" s="2" t="s">
        <v>13</v>
      </c>
      <c r="C854" s="2" t="s">
        <v>213</v>
      </c>
      <c r="D854" s="3">
        <v>0.3125</v>
      </c>
      <c r="E854" s="3">
        <v>0.35416666666666702</v>
      </c>
      <c r="F854" s="2" t="s">
        <v>35</v>
      </c>
      <c r="G854" s="2" t="s">
        <v>38</v>
      </c>
      <c r="H854" s="2">
        <v>4</v>
      </c>
      <c r="I854" s="2" t="s">
        <v>1054</v>
      </c>
      <c r="J854" s="2" t="s">
        <v>1055</v>
      </c>
      <c r="K854" s="4" t="s">
        <v>1056</v>
      </c>
      <c r="L854" s="2" t="str">
        <f>IFERROR(VLOOKUP(IFERROR(VLOOKUP(C854,'Destination Alias'!$A:$B,2,FALSE()),C854),'Best Months'!$A:$B,2,FALSE()),"Not listed")</f>
        <v>Jan–Mar</v>
      </c>
      <c r="S854" t="s">
        <v>1056</v>
      </c>
    </row>
    <row r="855" spans="1:19" x14ac:dyDescent="0.3">
      <c r="A855" s="2" t="s">
        <v>1057</v>
      </c>
      <c r="B855" s="2" t="s">
        <v>22</v>
      </c>
      <c r="C855" s="2" t="s">
        <v>27</v>
      </c>
      <c r="D855" s="3">
        <v>0.29166666666666702</v>
      </c>
      <c r="E855" s="3">
        <v>0.33333333333333298</v>
      </c>
      <c r="F855" s="2" t="s">
        <v>35</v>
      </c>
      <c r="G855" s="2" t="s">
        <v>38</v>
      </c>
      <c r="H855" s="2">
        <v>4.5999999999999996</v>
      </c>
      <c r="I855" s="2" t="s">
        <v>1058</v>
      </c>
      <c r="J855" s="2" t="s">
        <v>1059</v>
      </c>
      <c r="K855" s="2"/>
      <c r="L855" s="2" t="str">
        <f>IFERROR(VLOOKUP(IFERROR(VLOOKUP(C855,'Destination Alias'!$A:$B,2,FALSE()),C855),'Best Months'!$A:$B,2,FALSE()),"Not listed")</f>
        <v>May–Sep</v>
      </c>
    </row>
    <row r="856" spans="1:19" x14ac:dyDescent="0.3">
      <c r="A856" s="2" t="s">
        <v>1057</v>
      </c>
      <c r="B856" s="2" t="s">
        <v>22</v>
      </c>
      <c r="C856" s="2" t="s">
        <v>27</v>
      </c>
      <c r="D856" s="3">
        <v>0.33333333333333298</v>
      </c>
      <c r="E856" s="3">
        <v>0.375</v>
      </c>
      <c r="F856" s="2" t="s">
        <v>35</v>
      </c>
      <c r="G856" s="2" t="s">
        <v>16</v>
      </c>
      <c r="H856" s="2">
        <v>4.5999999999999996</v>
      </c>
      <c r="I856" s="2" t="s">
        <v>1058</v>
      </c>
      <c r="J856" s="2" t="s">
        <v>1059</v>
      </c>
      <c r="K856" s="2"/>
      <c r="L856" s="2" t="str">
        <f>IFERROR(VLOOKUP(IFERROR(VLOOKUP(C856,'Destination Alias'!$A:$B,2,FALSE()),C856),'Best Months'!$A:$B,2,FALSE()),"Not listed")</f>
        <v>May–Sep</v>
      </c>
    </row>
    <row r="857" spans="1:19" x14ac:dyDescent="0.3">
      <c r="A857" s="2" t="s">
        <v>1057</v>
      </c>
      <c r="B857" s="2" t="s">
        <v>22</v>
      </c>
      <c r="C857" s="2" t="s">
        <v>27</v>
      </c>
      <c r="D857" s="3">
        <v>0.375</v>
      </c>
      <c r="E857" s="3">
        <v>0.41666666666666702</v>
      </c>
      <c r="F857" s="2" t="s">
        <v>35</v>
      </c>
      <c r="G857" s="2" t="s">
        <v>20</v>
      </c>
      <c r="H857" s="2">
        <v>4.5999999999999996</v>
      </c>
      <c r="I857" s="2" t="s">
        <v>1058</v>
      </c>
      <c r="J857" s="2" t="s">
        <v>1059</v>
      </c>
      <c r="K857" s="2"/>
      <c r="L857" s="2" t="str">
        <f>IFERROR(VLOOKUP(IFERROR(VLOOKUP(C857,'Destination Alias'!$A:$B,2,FALSE()),C857),'Best Months'!$A:$B,2,FALSE()),"Not listed")</f>
        <v>May–Sep</v>
      </c>
    </row>
    <row r="858" spans="1:19" ht="409.6" x14ac:dyDescent="0.3">
      <c r="A858" s="2" t="s">
        <v>1060</v>
      </c>
      <c r="B858" s="2" t="s">
        <v>22</v>
      </c>
      <c r="C858" s="2" t="s">
        <v>254</v>
      </c>
      <c r="D858" s="3">
        <v>0.20833333333333301</v>
      </c>
      <c r="E858" s="3">
        <v>0.33333333333333298</v>
      </c>
      <c r="F858" s="2" t="s">
        <v>61</v>
      </c>
      <c r="G858" s="2" t="s">
        <v>28</v>
      </c>
      <c r="H858" s="2">
        <v>5</v>
      </c>
      <c r="I858" s="2" t="s">
        <v>1061</v>
      </c>
      <c r="J858" s="5" t="s">
        <v>1062</v>
      </c>
      <c r="K858" s="2"/>
      <c r="L858" s="2" t="str">
        <f>IFERROR(VLOOKUP(IFERROR(VLOOKUP(C858,'Destination Alias'!$A:$B,2,FALSE()),C858),'Best Months'!$A:$B,2,FALSE()),"Not listed")</f>
        <v>Jan–Mar, Jul–Sep</v>
      </c>
    </row>
    <row r="859" spans="1:19" ht="409.6" x14ac:dyDescent="0.3">
      <c r="A859" s="2" t="s">
        <v>1060</v>
      </c>
      <c r="B859" s="2" t="s">
        <v>22</v>
      </c>
      <c r="C859" s="2" t="s">
        <v>254</v>
      </c>
      <c r="D859" s="3">
        <v>0.25</v>
      </c>
      <c r="E859" s="3">
        <v>0.375</v>
      </c>
      <c r="F859" s="2" t="s">
        <v>61</v>
      </c>
      <c r="G859" s="2" t="s">
        <v>28</v>
      </c>
      <c r="H859" s="2">
        <v>5</v>
      </c>
      <c r="I859" s="2" t="s">
        <v>1061</v>
      </c>
      <c r="J859" s="5" t="s">
        <v>1062</v>
      </c>
      <c r="K859" s="2"/>
      <c r="L859" s="2" t="str">
        <f>IFERROR(VLOOKUP(IFERROR(VLOOKUP(C859,'Destination Alias'!$A:$B,2,FALSE()),C859),'Best Months'!$A:$B,2,FALSE()),"Not listed")</f>
        <v>Jan–Mar, Jul–Sep</v>
      </c>
    </row>
    <row r="860" spans="1:19" ht="111" x14ac:dyDescent="0.3">
      <c r="A860" s="2" t="s">
        <v>1060</v>
      </c>
      <c r="B860" s="2" t="s">
        <v>22</v>
      </c>
      <c r="C860" s="2" t="s">
        <v>254</v>
      </c>
      <c r="D860" s="3">
        <v>0.27083333333333298</v>
      </c>
      <c r="E860" s="3">
        <v>0.39583333333333298</v>
      </c>
      <c r="F860" s="2" t="s">
        <v>61</v>
      </c>
      <c r="G860" s="2" t="s">
        <v>28</v>
      </c>
      <c r="H860" s="2">
        <v>5</v>
      </c>
      <c r="I860" s="2" t="s">
        <v>1061</v>
      </c>
      <c r="J860" s="5" t="s">
        <v>1062</v>
      </c>
      <c r="K860" s="2"/>
      <c r="L860" s="2" t="str">
        <f>IFERROR(VLOOKUP(IFERROR(VLOOKUP(C860,'Destination Alias'!$A:$B,2,FALSE()),C860),'Best Months'!$A:$B,2,FALSE()),"Not listed")</f>
        <v>Jan–Mar, Jul–Sep</v>
      </c>
    </row>
    <row r="861" spans="1:19" ht="111" x14ac:dyDescent="0.3">
      <c r="A861" s="2" t="s">
        <v>1060</v>
      </c>
      <c r="B861" s="2" t="s">
        <v>22</v>
      </c>
      <c r="C861" s="2" t="s">
        <v>254</v>
      </c>
      <c r="D861" s="3">
        <v>0.28125</v>
      </c>
      <c r="E861" s="3">
        <v>0.40625</v>
      </c>
      <c r="F861" s="2" t="s">
        <v>61</v>
      </c>
      <c r="G861" s="2" t="s">
        <v>28</v>
      </c>
      <c r="H861" s="2">
        <v>5</v>
      </c>
      <c r="I861" s="2" t="s">
        <v>1061</v>
      </c>
      <c r="J861" s="5" t="s">
        <v>1062</v>
      </c>
      <c r="K861" s="2"/>
      <c r="L861" s="2" t="str">
        <f>IFERROR(VLOOKUP(IFERROR(VLOOKUP(C861,'Destination Alias'!$A:$B,2,FALSE()),C861),'Best Months'!$A:$B,2,FALSE()),"Not listed")</f>
        <v>Jan–Mar, Jul–Sep</v>
      </c>
    </row>
    <row r="862" spans="1:19" ht="409.6" x14ac:dyDescent="0.3">
      <c r="A862" s="2" t="s">
        <v>1060</v>
      </c>
      <c r="B862" s="2" t="s">
        <v>22</v>
      </c>
      <c r="C862" s="2" t="s">
        <v>254</v>
      </c>
      <c r="D862" s="3">
        <v>0.29166666666666702</v>
      </c>
      <c r="E862" s="3">
        <v>0.41666666666666702</v>
      </c>
      <c r="F862" s="2" t="s">
        <v>61</v>
      </c>
      <c r="G862" s="2" t="s">
        <v>38</v>
      </c>
      <c r="H862" s="2">
        <v>5</v>
      </c>
      <c r="I862" s="2" t="s">
        <v>1061</v>
      </c>
      <c r="J862" s="5" t="s">
        <v>1062</v>
      </c>
      <c r="K862" s="2"/>
      <c r="L862" s="2" t="str">
        <f>IFERROR(VLOOKUP(IFERROR(VLOOKUP(C862,'Destination Alias'!$A:$B,2,FALSE()),C862),'Best Months'!$A:$B,2,FALSE()),"Not listed")</f>
        <v>Jan–Mar, Jul–Sep</v>
      </c>
    </row>
    <row r="863" spans="1:19" ht="409.6" x14ac:dyDescent="0.3">
      <c r="A863" s="2" t="s">
        <v>1060</v>
      </c>
      <c r="B863" s="2" t="s">
        <v>22</v>
      </c>
      <c r="C863" s="2" t="s">
        <v>254</v>
      </c>
      <c r="D863" s="3">
        <v>0.3125</v>
      </c>
      <c r="E863" s="3">
        <v>0.4375</v>
      </c>
      <c r="F863" s="2" t="s">
        <v>61</v>
      </c>
      <c r="G863" s="2" t="s">
        <v>38</v>
      </c>
      <c r="H863" s="2">
        <v>5</v>
      </c>
      <c r="I863" s="2" t="s">
        <v>1061</v>
      </c>
      <c r="J863" s="5" t="s">
        <v>1062</v>
      </c>
      <c r="K863" s="2"/>
      <c r="L863" s="2" t="str">
        <f>IFERROR(VLOOKUP(IFERROR(VLOOKUP(C863,'Destination Alias'!$A:$B,2,FALSE()),C863),'Best Months'!$A:$B,2,FALSE()),"Not listed")</f>
        <v>Jan–Mar, Jul–Sep</v>
      </c>
    </row>
    <row r="864" spans="1:19" ht="409.6" x14ac:dyDescent="0.3">
      <c r="A864" s="2" t="s">
        <v>1060</v>
      </c>
      <c r="B864" s="2" t="s">
        <v>22</v>
      </c>
      <c r="C864" s="2" t="s">
        <v>254</v>
      </c>
      <c r="D864" s="3">
        <v>0.33333333333333298</v>
      </c>
      <c r="E864" s="3">
        <v>0.45833333333333298</v>
      </c>
      <c r="F864" s="2" t="s">
        <v>61</v>
      </c>
      <c r="G864" s="2" t="s">
        <v>16</v>
      </c>
      <c r="H864" s="2">
        <v>5</v>
      </c>
      <c r="I864" s="2" t="s">
        <v>1061</v>
      </c>
      <c r="J864" s="5" t="s">
        <v>1062</v>
      </c>
      <c r="K864" s="2"/>
      <c r="L864" s="2" t="str">
        <f>IFERROR(VLOOKUP(IFERROR(VLOOKUP(C864,'Destination Alias'!$A:$B,2,FALSE()),C864),'Best Months'!$A:$B,2,FALSE()),"Not listed")</f>
        <v>Jan–Mar, Jul–Sep</v>
      </c>
    </row>
    <row r="865" spans="1:12" ht="409.6" x14ac:dyDescent="0.3">
      <c r="A865" s="2" t="s">
        <v>1060</v>
      </c>
      <c r="B865" s="2" t="s">
        <v>22</v>
      </c>
      <c r="C865" s="2" t="s">
        <v>254</v>
      </c>
      <c r="D865" s="3">
        <v>0.35416666666666702</v>
      </c>
      <c r="E865" s="3">
        <v>0.47916666666666702</v>
      </c>
      <c r="F865" s="2" t="s">
        <v>61</v>
      </c>
      <c r="G865" s="2" t="s">
        <v>16</v>
      </c>
      <c r="H865" s="2">
        <v>4</v>
      </c>
      <c r="I865" s="2" t="s">
        <v>1061</v>
      </c>
      <c r="J865" s="5" t="s">
        <v>1062</v>
      </c>
      <c r="K865" s="2"/>
      <c r="L865" s="2" t="str">
        <f>IFERROR(VLOOKUP(IFERROR(VLOOKUP(C865,'Destination Alias'!$A:$B,2,FALSE()),C865),'Best Months'!$A:$B,2,FALSE()),"Not listed")</f>
        <v>Jan–Mar, Jul–Sep</v>
      </c>
    </row>
    <row r="866" spans="1:12" ht="409.6" x14ac:dyDescent="0.3">
      <c r="A866" s="2" t="s">
        <v>1060</v>
      </c>
      <c r="B866" s="2" t="s">
        <v>22</v>
      </c>
      <c r="C866" s="2" t="s">
        <v>254</v>
      </c>
      <c r="D866" s="3">
        <v>0.375</v>
      </c>
      <c r="E866" s="3">
        <v>0.5</v>
      </c>
      <c r="F866" s="2" t="s">
        <v>61</v>
      </c>
      <c r="G866" s="2" t="s">
        <v>20</v>
      </c>
      <c r="H866" s="2">
        <v>4</v>
      </c>
      <c r="I866" s="2" t="s">
        <v>1061</v>
      </c>
      <c r="J866" s="5" t="s">
        <v>1062</v>
      </c>
      <c r="K866" s="2"/>
      <c r="L866" s="2" t="str">
        <f>IFERROR(VLOOKUP(IFERROR(VLOOKUP(C866,'Destination Alias'!$A:$B,2,FALSE()),C866),'Best Months'!$A:$B,2,FALSE()),"Not listed")</f>
        <v>Jan–Mar, Jul–Sep</v>
      </c>
    </row>
    <row r="867" spans="1:12" ht="409.6" x14ac:dyDescent="0.3">
      <c r="A867" s="2" t="s">
        <v>1060</v>
      </c>
      <c r="B867" s="2" t="s">
        <v>22</v>
      </c>
      <c r="C867" s="2" t="s">
        <v>254</v>
      </c>
      <c r="D867" s="3">
        <v>0.41666666666666702</v>
      </c>
      <c r="E867" s="3">
        <v>0.54166666666666696</v>
      </c>
      <c r="F867" s="2" t="s">
        <v>61</v>
      </c>
      <c r="G867" s="2" t="s">
        <v>20</v>
      </c>
      <c r="H867" s="2">
        <v>5</v>
      </c>
      <c r="I867" s="2" t="s">
        <v>1061</v>
      </c>
      <c r="J867" s="5" t="s">
        <v>1062</v>
      </c>
      <c r="K867" s="2"/>
      <c r="L867" s="2" t="str">
        <f>IFERROR(VLOOKUP(IFERROR(VLOOKUP(C867,'Destination Alias'!$A:$B,2,FALSE()),C867),'Best Months'!$A:$B,2,FALSE()),"Not listed")</f>
        <v>Jan–Mar, Jul–Sep</v>
      </c>
    </row>
    <row r="868" spans="1:12" ht="409.6" x14ac:dyDescent="0.3">
      <c r="A868" s="2" t="s">
        <v>1060</v>
      </c>
      <c r="B868" s="2" t="s">
        <v>22</v>
      </c>
      <c r="C868" s="2" t="s">
        <v>254</v>
      </c>
      <c r="D868" s="3">
        <v>0.4375</v>
      </c>
      <c r="E868" s="3">
        <v>0.5625</v>
      </c>
      <c r="F868" s="2" t="s">
        <v>61</v>
      </c>
      <c r="G868" s="2" t="s">
        <v>20</v>
      </c>
      <c r="H868" s="2">
        <v>5</v>
      </c>
      <c r="I868" s="2" t="s">
        <v>1061</v>
      </c>
      <c r="J868" s="5" t="s">
        <v>1062</v>
      </c>
      <c r="K868" s="2"/>
      <c r="L868" s="2" t="str">
        <f>IFERROR(VLOOKUP(IFERROR(VLOOKUP(C868,'Destination Alias'!$A:$B,2,FALSE()),C868),'Best Months'!$A:$B,2,FALSE()),"Not listed")</f>
        <v>Jan–Mar, Jul–Sep</v>
      </c>
    </row>
    <row r="869" spans="1:12" ht="409.6" x14ac:dyDescent="0.3">
      <c r="A869" s="2" t="s">
        <v>1060</v>
      </c>
      <c r="B869" s="2" t="s">
        <v>22</v>
      </c>
      <c r="C869" s="2" t="s">
        <v>254</v>
      </c>
      <c r="D869" s="3">
        <v>0.5</v>
      </c>
      <c r="E869" s="3">
        <v>0.625</v>
      </c>
      <c r="F869" s="2" t="s">
        <v>61</v>
      </c>
      <c r="G869" s="2" t="s">
        <v>220</v>
      </c>
      <c r="H869" s="2">
        <v>5</v>
      </c>
      <c r="I869" s="2" t="s">
        <v>1061</v>
      </c>
      <c r="J869" s="5" t="s">
        <v>1062</v>
      </c>
      <c r="K869" s="2"/>
      <c r="L869" s="2" t="str">
        <f>IFERROR(VLOOKUP(IFERROR(VLOOKUP(C869,'Destination Alias'!$A:$B,2,FALSE()),C869),'Best Months'!$A:$B,2,FALSE()),"Not listed")</f>
        <v>Jan–Mar, Jul–Sep</v>
      </c>
    </row>
    <row r="870" spans="1:12" ht="409.6" x14ac:dyDescent="0.3">
      <c r="A870" s="2" t="s">
        <v>1060</v>
      </c>
      <c r="B870" s="2" t="s">
        <v>22</v>
      </c>
      <c r="C870" s="2" t="s">
        <v>254</v>
      </c>
      <c r="D870" s="3">
        <v>0.58333333333333304</v>
      </c>
      <c r="E870" s="3">
        <v>0.70833333333333304</v>
      </c>
      <c r="F870" s="2" t="s">
        <v>61</v>
      </c>
      <c r="G870" s="2" t="s">
        <v>199</v>
      </c>
      <c r="H870" s="2">
        <v>5</v>
      </c>
      <c r="I870" s="2" t="s">
        <v>1061</v>
      </c>
      <c r="J870" s="5" t="s">
        <v>1062</v>
      </c>
      <c r="K870" s="2"/>
      <c r="L870" s="2" t="str">
        <f>IFERROR(VLOOKUP(IFERROR(VLOOKUP(C870,'Destination Alias'!$A:$B,2,FALSE()),C870),'Best Months'!$A:$B,2,FALSE()),"Not listed")</f>
        <v>Jan–Mar, Jul–Sep</v>
      </c>
    </row>
    <row r="871" spans="1:12" ht="409.6" x14ac:dyDescent="0.3">
      <c r="A871" s="2" t="s">
        <v>1060</v>
      </c>
      <c r="B871" s="2" t="s">
        <v>22</v>
      </c>
      <c r="C871" s="2" t="s">
        <v>254</v>
      </c>
      <c r="D871" s="3">
        <v>0.625</v>
      </c>
      <c r="E871" s="3">
        <v>0.75</v>
      </c>
      <c r="F871" s="2" t="s">
        <v>61</v>
      </c>
      <c r="G871" s="2" t="s">
        <v>73</v>
      </c>
      <c r="H871" s="2">
        <v>5</v>
      </c>
      <c r="I871" s="2" t="s">
        <v>1061</v>
      </c>
      <c r="J871" s="5" t="s">
        <v>1062</v>
      </c>
      <c r="K871" s="2"/>
      <c r="L871" s="2" t="str">
        <f>IFERROR(VLOOKUP(IFERROR(VLOOKUP(C871,'Destination Alias'!$A:$B,2,FALSE()),C871),'Best Months'!$A:$B,2,FALSE()),"Not listed")</f>
        <v>Jan–Mar, Jul–Sep</v>
      </c>
    </row>
    <row r="872" spans="1:12" ht="409.6" x14ac:dyDescent="0.3">
      <c r="A872" s="2" t="s">
        <v>1060</v>
      </c>
      <c r="B872" s="2" t="s">
        <v>22</v>
      </c>
      <c r="C872" s="2" t="s">
        <v>254</v>
      </c>
      <c r="D872" s="3">
        <v>0.66666666666666696</v>
      </c>
      <c r="E872" s="3">
        <v>0.79166666666666696</v>
      </c>
      <c r="F872" s="2" t="s">
        <v>61</v>
      </c>
      <c r="G872" s="2" t="s">
        <v>73</v>
      </c>
      <c r="H872" s="2">
        <v>5</v>
      </c>
      <c r="I872" s="2" t="s">
        <v>1061</v>
      </c>
      <c r="J872" s="5" t="s">
        <v>1062</v>
      </c>
      <c r="K872" s="2"/>
      <c r="L872" s="2" t="str">
        <f>IFERROR(VLOOKUP(IFERROR(VLOOKUP(C872,'Destination Alias'!$A:$B,2,FALSE()),C872),'Best Months'!$A:$B,2,FALSE()),"Not listed")</f>
        <v>Jan–Mar, Jul–Sep</v>
      </c>
    </row>
    <row r="873" spans="1:12" ht="409.6" x14ac:dyDescent="0.3">
      <c r="A873" s="2" t="s">
        <v>1060</v>
      </c>
      <c r="B873" s="2" t="s">
        <v>22</v>
      </c>
      <c r="C873" s="2" t="s">
        <v>254</v>
      </c>
      <c r="D873" s="3">
        <v>0.6875</v>
      </c>
      <c r="E873" s="3">
        <v>0.8125</v>
      </c>
      <c r="F873" s="2" t="s">
        <v>61</v>
      </c>
      <c r="G873" s="2" t="s">
        <v>73</v>
      </c>
      <c r="H873" s="2">
        <v>5</v>
      </c>
      <c r="I873" s="2" t="s">
        <v>1061</v>
      </c>
      <c r="J873" s="5" t="s">
        <v>1062</v>
      </c>
      <c r="K873" s="2"/>
      <c r="L873" s="2" t="str">
        <f>IFERROR(VLOOKUP(IFERROR(VLOOKUP(C873,'Destination Alias'!$A:$B,2,FALSE()),C873),'Best Months'!$A:$B,2,FALSE()),"Not listed")</f>
        <v>Jan–Mar, Jul–Sep</v>
      </c>
    </row>
    <row r="874" spans="1:12" ht="409.6" x14ac:dyDescent="0.3">
      <c r="A874" s="2" t="s">
        <v>1060</v>
      </c>
      <c r="B874" s="2" t="s">
        <v>22</v>
      </c>
      <c r="C874" s="2" t="s">
        <v>254</v>
      </c>
      <c r="D874" s="3">
        <v>0.70833333333333304</v>
      </c>
      <c r="E874" s="3">
        <v>0.83333333333333304</v>
      </c>
      <c r="F874" s="2" t="s">
        <v>61</v>
      </c>
      <c r="G874" s="2" t="s">
        <v>52</v>
      </c>
      <c r="H874" s="2">
        <v>4</v>
      </c>
      <c r="I874" s="2" t="s">
        <v>1061</v>
      </c>
      <c r="J874" s="5" t="s">
        <v>1062</v>
      </c>
      <c r="K874" s="2"/>
      <c r="L874" s="2" t="str">
        <f>IFERROR(VLOOKUP(IFERROR(VLOOKUP(C874,'Destination Alias'!$A:$B,2,FALSE()),C874),'Best Months'!$A:$B,2,FALSE()),"Not listed")</f>
        <v>Jan–Mar, Jul–Sep</v>
      </c>
    </row>
    <row r="875" spans="1:12" ht="409.6" x14ac:dyDescent="0.3">
      <c r="A875" s="2" t="s">
        <v>1060</v>
      </c>
      <c r="B875" s="2" t="s">
        <v>22</v>
      </c>
      <c r="C875" s="2" t="s">
        <v>254</v>
      </c>
      <c r="D875" s="3">
        <v>0.72916666666666696</v>
      </c>
      <c r="E875" s="3">
        <v>0.85416666666666696</v>
      </c>
      <c r="F875" s="2" t="s">
        <v>61</v>
      </c>
      <c r="G875" s="2" t="s">
        <v>52</v>
      </c>
      <c r="H875" s="2">
        <v>5</v>
      </c>
      <c r="I875" s="2" t="s">
        <v>1061</v>
      </c>
      <c r="J875" s="5" t="s">
        <v>1062</v>
      </c>
      <c r="K875" s="2"/>
      <c r="L875" s="2" t="str">
        <f>IFERROR(VLOOKUP(IFERROR(VLOOKUP(C875,'Destination Alias'!$A:$B,2,FALSE()),C875),'Best Months'!$A:$B,2,FALSE()),"Not listed")</f>
        <v>Jan–Mar, Jul–Sep</v>
      </c>
    </row>
    <row r="876" spans="1:12" ht="409.6" x14ac:dyDescent="0.3">
      <c r="A876" s="2" t="s">
        <v>1060</v>
      </c>
      <c r="B876" s="2" t="s">
        <v>22</v>
      </c>
      <c r="C876" s="2" t="s">
        <v>254</v>
      </c>
      <c r="D876" s="3">
        <v>0.29166666666666702</v>
      </c>
      <c r="E876" s="3">
        <v>0.41666666666666702</v>
      </c>
      <c r="F876" s="2" t="s">
        <v>61</v>
      </c>
      <c r="G876" s="2" t="s">
        <v>38</v>
      </c>
      <c r="H876" s="2">
        <v>4.8</v>
      </c>
      <c r="I876" s="2" t="s">
        <v>1061</v>
      </c>
      <c r="J876" s="5" t="s">
        <v>1062</v>
      </c>
      <c r="K876" s="2"/>
      <c r="L876" s="2" t="str">
        <f>IFERROR(VLOOKUP(IFERROR(VLOOKUP(C876,'Destination Alias'!$A:$B,2,FALSE()),C876),'Best Months'!$A:$B,2,FALSE()),"Not listed")</f>
        <v>Jan–Mar, Jul–Sep</v>
      </c>
    </row>
    <row r="877" spans="1:12" x14ac:dyDescent="0.3">
      <c r="A877" s="2" t="s">
        <v>1063</v>
      </c>
      <c r="B877" s="2" t="s">
        <v>13</v>
      </c>
      <c r="C877" s="2" t="s">
        <v>213</v>
      </c>
      <c r="D877" s="3">
        <v>0.25</v>
      </c>
      <c r="E877" s="3">
        <v>0.35416666666666702</v>
      </c>
      <c r="F877" s="2" t="s">
        <v>430</v>
      </c>
      <c r="G877" s="2" t="s">
        <v>28</v>
      </c>
      <c r="H877" s="2">
        <v>4.2</v>
      </c>
      <c r="I877" s="2" t="s">
        <v>1064</v>
      </c>
      <c r="J877" s="2" t="s">
        <v>1065</v>
      </c>
      <c r="K877" s="2" t="s">
        <v>1066</v>
      </c>
      <c r="L877" s="2" t="str">
        <f>IFERROR(VLOOKUP(IFERROR(VLOOKUP(C877,'Destination Alias'!$A:$B,2,FALSE()),C877),'Best Months'!$A:$B,2,FALSE()),"Not listed")</f>
        <v>Jan–Mar</v>
      </c>
    </row>
    <row r="878" spans="1:12" x14ac:dyDescent="0.3">
      <c r="A878" s="2" t="s">
        <v>1067</v>
      </c>
      <c r="B878" s="2" t="s">
        <v>81</v>
      </c>
      <c r="C878" s="2" t="s">
        <v>119</v>
      </c>
      <c r="D878" s="3">
        <v>0.1875</v>
      </c>
      <c r="E878" s="3">
        <v>0.39583333333333298</v>
      </c>
      <c r="F878" s="2" t="s">
        <v>546</v>
      </c>
      <c r="G878" s="2" t="s">
        <v>52</v>
      </c>
      <c r="H878" s="2">
        <v>5</v>
      </c>
      <c r="I878" s="2" t="s">
        <v>1068</v>
      </c>
      <c r="J878" s="2" t="s">
        <v>1069</v>
      </c>
      <c r="K878" s="2"/>
      <c r="L878" s="2" t="str">
        <f>IFERROR(VLOOKUP(IFERROR(VLOOKUP(C878,'Destination Alias'!$A:$B,2,FALSE()),C878),'Best Months'!$A:$B,2,FALSE()),"Not listed")</f>
        <v>Jan–Mar</v>
      </c>
    </row>
    <row r="879" spans="1:12" x14ac:dyDescent="0.3">
      <c r="A879" s="2" t="s">
        <v>1067</v>
      </c>
      <c r="B879" s="2" t="s">
        <v>81</v>
      </c>
      <c r="C879" s="2" t="s">
        <v>119</v>
      </c>
      <c r="D879" s="3">
        <v>0.20833333333333301</v>
      </c>
      <c r="E879" s="3">
        <v>0.41666666666666702</v>
      </c>
      <c r="F879" s="2" t="s">
        <v>546</v>
      </c>
      <c r="G879" s="2" t="s">
        <v>28</v>
      </c>
      <c r="H879" s="2">
        <v>4</v>
      </c>
      <c r="I879" s="2" t="s">
        <v>1068</v>
      </c>
      <c r="J879" s="2" t="s">
        <v>1069</v>
      </c>
      <c r="K879" s="2"/>
      <c r="L879" s="2" t="str">
        <f>IFERROR(VLOOKUP(IFERROR(VLOOKUP(C879,'Destination Alias'!$A:$B,2,FALSE()),C879),'Best Months'!$A:$B,2,FALSE()),"Not listed")</f>
        <v>Jan–Mar</v>
      </c>
    </row>
    <row r="880" spans="1:12" x14ac:dyDescent="0.3">
      <c r="A880" s="2" t="s">
        <v>1067</v>
      </c>
      <c r="B880" s="2" t="s">
        <v>81</v>
      </c>
      <c r="C880" s="2" t="s">
        <v>119</v>
      </c>
      <c r="D880" s="3">
        <v>0.22916666666666699</v>
      </c>
      <c r="E880" s="3">
        <v>0.4375</v>
      </c>
      <c r="F880" s="2" t="s">
        <v>546</v>
      </c>
      <c r="G880" s="2" t="s">
        <v>28</v>
      </c>
      <c r="H880" s="2">
        <v>1</v>
      </c>
      <c r="I880" s="2" t="s">
        <v>1068</v>
      </c>
      <c r="J880" s="2" t="s">
        <v>1069</v>
      </c>
      <c r="K880" s="2"/>
      <c r="L880" s="2" t="str">
        <f>IFERROR(VLOOKUP(IFERROR(VLOOKUP(C880,'Destination Alias'!$A:$B,2,FALSE()),C880),'Best Months'!$A:$B,2,FALSE()),"Not listed")</f>
        <v>Jan–Mar</v>
      </c>
    </row>
    <row r="881" spans="1:19" x14ac:dyDescent="0.3">
      <c r="A881" s="2" t="s">
        <v>1067</v>
      </c>
      <c r="B881" s="2" t="s">
        <v>81</v>
      </c>
      <c r="C881" s="2" t="s">
        <v>119</v>
      </c>
      <c r="D881" s="3">
        <v>0.25</v>
      </c>
      <c r="E881" s="3">
        <v>0.45833333333333298</v>
      </c>
      <c r="F881" s="2" t="s">
        <v>546</v>
      </c>
      <c r="G881" s="2" t="s">
        <v>28</v>
      </c>
      <c r="H881" s="2">
        <v>3</v>
      </c>
      <c r="I881" s="2" t="s">
        <v>1068</v>
      </c>
      <c r="J881" s="2" t="s">
        <v>1069</v>
      </c>
      <c r="K881" s="2"/>
      <c r="L881" s="2" t="str">
        <f>IFERROR(VLOOKUP(IFERROR(VLOOKUP(C881,'Destination Alias'!$A:$B,2,FALSE()),C881),'Best Months'!$A:$B,2,FALSE()),"Not listed")</f>
        <v>Jan–Mar</v>
      </c>
    </row>
    <row r="882" spans="1:19" x14ac:dyDescent="0.3">
      <c r="A882" s="2" t="s">
        <v>1067</v>
      </c>
      <c r="B882" s="2" t="s">
        <v>81</v>
      </c>
      <c r="C882" s="2" t="s">
        <v>119</v>
      </c>
      <c r="D882" s="3">
        <v>0.27083333333333298</v>
      </c>
      <c r="E882" s="3">
        <v>0.47916666666666702</v>
      </c>
      <c r="F882" s="2" t="s">
        <v>546</v>
      </c>
      <c r="G882" s="2" t="s">
        <v>28</v>
      </c>
      <c r="H882" s="2">
        <v>5</v>
      </c>
      <c r="I882" s="2" t="s">
        <v>1068</v>
      </c>
      <c r="J882" s="2" t="s">
        <v>1069</v>
      </c>
      <c r="K882" s="2"/>
      <c r="L882" s="2" t="str">
        <f>IFERROR(VLOOKUP(IFERROR(VLOOKUP(C882,'Destination Alias'!$A:$B,2,FALSE()),C882),'Best Months'!$A:$B,2,FALSE()),"Not listed")</f>
        <v>Jan–Mar</v>
      </c>
    </row>
    <row r="883" spans="1:19" x14ac:dyDescent="0.3">
      <c r="A883" s="2" t="s">
        <v>1067</v>
      </c>
      <c r="B883" s="2" t="s">
        <v>81</v>
      </c>
      <c r="C883" s="2" t="s">
        <v>119</v>
      </c>
      <c r="D883" s="3">
        <v>0.29166666666666702</v>
      </c>
      <c r="E883" s="3">
        <v>0.5</v>
      </c>
      <c r="F883" s="2" t="s">
        <v>546</v>
      </c>
      <c r="G883" s="2" t="s">
        <v>38</v>
      </c>
      <c r="H883" s="2">
        <v>5</v>
      </c>
      <c r="I883" s="2" t="s">
        <v>1068</v>
      </c>
      <c r="J883" s="2" t="s">
        <v>1069</v>
      </c>
      <c r="K883" s="2"/>
      <c r="L883" s="2" t="str">
        <f>IFERROR(VLOOKUP(IFERROR(VLOOKUP(C883,'Destination Alias'!$A:$B,2,FALSE()),C883),'Best Months'!$A:$B,2,FALSE()),"Not listed")</f>
        <v>Jan–Mar</v>
      </c>
    </row>
    <row r="884" spans="1:19" x14ac:dyDescent="0.3">
      <c r="A884" s="2" t="s">
        <v>1067</v>
      </c>
      <c r="B884" s="2" t="s">
        <v>81</v>
      </c>
      <c r="C884" s="2" t="s">
        <v>119</v>
      </c>
      <c r="D884" s="3">
        <v>0.3125</v>
      </c>
      <c r="E884" s="3">
        <v>0.52083333333333304</v>
      </c>
      <c r="F884" s="2" t="s">
        <v>546</v>
      </c>
      <c r="G884" s="2" t="s">
        <v>38</v>
      </c>
      <c r="H884" s="2">
        <v>4</v>
      </c>
      <c r="I884" s="2" t="s">
        <v>1068</v>
      </c>
      <c r="J884" s="2" t="s">
        <v>1069</v>
      </c>
      <c r="K884" s="2"/>
      <c r="L884" s="2" t="str">
        <f>IFERROR(VLOOKUP(IFERROR(VLOOKUP(C884,'Destination Alias'!$A:$B,2,FALSE()),C884),'Best Months'!$A:$B,2,FALSE()),"Not listed")</f>
        <v>Jan–Mar</v>
      </c>
    </row>
    <row r="885" spans="1:19" x14ac:dyDescent="0.3">
      <c r="A885" s="2" t="s">
        <v>1067</v>
      </c>
      <c r="B885" s="2" t="s">
        <v>81</v>
      </c>
      <c r="C885" s="2" t="s">
        <v>119</v>
      </c>
      <c r="D885" s="3">
        <v>0.35416666666666702</v>
      </c>
      <c r="E885" s="3">
        <v>0.5625</v>
      </c>
      <c r="F885" s="2" t="s">
        <v>546</v>
      </c>
      <c r="G885" s="2" t="s">
        <v>16</v>
      </c>
      <c r="H885" s="2">
        <v>5</v>
      </c>
      <c r="I885" s="2" t="s">
        <v>1068</v>
      </c>
      <c r="J885" s="2" t="s">
        <v>1069</v>
      </c>
      <c r="K885" s="2"/>
      <c r="L885" s="2" t="str">
        <f>IFERROR(VLOOKUP(IFERROR(VLOOKUP(C885,'Destination Alias'!$A:$B,2,FALSE()),C885),'Best Months'!$A:$B,2,FALSE()),"Not listed")</f>
        <v>Jan–Mar</v>
      </c>
    </row>
    <row r="886" spans="1:19" x14ac:dyDescent="0.3">
      <c r="A886" s="2" t="s">
        <v>1067</v>
      </c>
      <c r="B886" s="2" t="s">
        <v>81</v>
      </c>
      <c r="C886" s="2" t="s">
        <v>119</v>
      </c>
      <c r="D886" s="3">
        <v>0.375</v>
      </c>
      <c r="E886" s="3">
        <v>0.58333333333333304</v>
      </c>
      <c r="F886" s="2" t="s">
        <v>546</v>
      </c>
      <c r="G886" s="2" t="s">
        <v>20</v>
      </c>
      <c r="H886" s="2">
        <v>2</v>
      </c>
      <c r="I886" s="2" t="s">
        <v>1068</v>
      </c>
      <c r="J886" s="2" t="s">
        <v>1069</v>
      </c>
      <c r="K886" s="2"/>
      <c r="L886" s="2" t="str">
        <f>IFERROR(VLOOKUP(IFERROR(VLOOKUP(C886,'Destination Alias'!$A:$B,2,FALSE()),C886),'Best Months'!$A:$B,2,FALSE()),"Not listed")</f>
        <v>Jan–Mar</v>
      </c>
    </row>
    <row r="887" spans="1:19" x14ac:dyDescent="0.3">
      <c r="A887" s="2" t="s">
        <v>1067</v>
      </c>
      <c r="B887" s="2" t="s">
        <v>81</v>
      </c>
      <c r="C887" s="2" t="s">
        <v>119</v>
      </c>
      <c r="D887" s="3">
        <v>0.4375</v>
      </c>
      <c r="E887" s="3">
        <v>0.64583333333333304</v>
      </c>
      <c r="F887" s="2" t="s">
        <v>546</v>
      </c>
      <c r="G887" s="2" t="s">
        <v>20</v>
      </c>
      <c r="H887" s="2">
        <v>5</v>
      </c>
      <c r="I887" s="2" t="s">
        <v>1068</v>
      </c>
      <c r="J887" s="2" t="s">
        <v>1069</v>
      </c>
      <c r="K887" s="2"/>
      <c r="L887" s="2" t="str">
        <f>IFERROR(VLOOKUP(IFERROR(VLOOKUP(C887,'Destination Alias'!$A:$B,2,FALSE()),C887),'Best Months'!$A:$B,2,FALSE()),"Not listed")</f>
        <v>Jan–Mar</v>
      </c>
    </row>
    <row r="888" spans="1:19" x14ac:dyDescent="0.3">
      <c r="A888" s="2" t="s">
        <v>1067</v>
      </c>
      <c r="B888" s="2" t="s">
        <v>81</v>
      </c>
      <c r="C888" s="2" t="s">
        <v>119</v>
      </c>
      <c r="D888" s="3">
        <v>0.5</v>
      </c>
      <c r="E888" s="3">
        <v>0.70833333333333304</v>
      </c>
      <c r="F888" s="2" t="s">
        <v>546</v>
      </c>
      <c r="G888" s="2" t="s">
        <v>220</v>
      </c>
      <c r="H888" s="2">
        <v>3</v>
      </c>
      <c r="I888" s="2" t="s">
        <v>1068</v>
      </c>
      <c r="J888" s="2" t="s">
        <v>1069</v>
      </c>
      <c r="K888" s="2"/>
      <c r="L888" s="2" t="str">
        <f>IFERROR(VLOOKUP(IFERROR(VLOOKUP(C888,'Destination Alias'!$A:$B,2,FALSE()),C888),'Best Months'!$A:$B,2,FALSE()),"Not listed")</f>
        <v>Jan–Mar</v>
      </c>
    </row>
    <row r="889" spans="1:19" x14ac:dyDescent="0.3">
      <c r="A889" s="2" t="s">
        <v>1067</v>
      </c>
      <c r="B889" s="2" t="s">
        <v>81</v>
      </c>
      <c r="C889" s="2" t="s">
        <v>119</v>
      </c>
      <c r="D889" s="3">
        <v>0.54166666666666696</v>
      </c>
      <c r="E889" s="3">
        <v>0.75</v>
      </c>
      <c r="F889" s="2" t="s">
        <v>546</v>
      </c>
      <c r="G889" s="2" t="s">
        <v>199</v>
      </c>
      <c r="H889" s="2">
        <v>4</v>
      </c>
      <c r="I889" s="2" t="s">
        <v>1068</v>
      </c>
      <c r="J889" s="2" t="s">
        <v>1069</v>
      </c>
      <c r="K889" s="2"/>
      <c r="L889" s="2" t="str">
        <f>IFERROR(VLOOKUP(IFERROR(VLOOKUP(C889,'Destination Alias'!$A:$B,2,FALSE()),C889),'Best Months'!$A:$B,2,FALSE()),"Not listed")</f>
        <v>Jan–Mar</v>
      </c>
    </row>
    <row r="890" spans="1:19" x14ac:dyDescent="0.3">
      <c r="A890" s="2" t="s">
        <v>1067</v>
      </c>
      <c r="B890" s="2" t="s">
        <v>81</v>
      </c>
      <c r="C890" s="2" t="s">
        <v>119</v>
      </c>
      <c r="D890" s="3">
        <v>0.625</v>
      </c>
      <c r="E890" s="3">
        <v>0.83333333333333304</v>
      </c>
      <c r="F890" s="2" t="s">
        <v>546</v>
      </c>
      <c r="G890" s="2" t="s">
        <v>73</v>
      </c>
      <c r="H890" s="2">
        <v>5</v>
      </c>
      <c r="I890" s="2" t="s">
        <v>1068</v>
      </c>
      <c r="J890" s="2" t="s">
        <v>1069</v>
      </c>
      <c r="K890" s="2"/>
      <c r="L890" s="2" t="str">
        <f>IFERROR(VLOOKUP(IFERROR(VLOOKUP(C890,'Destination Alias'!$A:$B,2,FALSE()),C890),'Best Months'!$A:$B,2,FALSE()),"Not listed")</f>
        <v>Jan–Mar</v>
      </c>
    </row>
    <row r="891" spans="1:19" x14ac:dyDescent="0.3">
      <c r="A891" s="2" t="s">
        <v>1067</v>
      </c>
      <c r="B891" s="2" t="s">
        <v>81</v>
      </c>
      <c r="C891" s="2" t="s">
        <v>119</v>
      </c>
      <c r="D891" s="3">
        <v>0.72916666666666696</v>
      </c>
      <c r="E891" s="3">
        <v>0.9375</v>
      </c>
      <c r="F891" s="2" t="s">
        <v>546</v>
      </c>
      <c r="G891" s="2" t="s">
        <v>52</v>
      </c>
      <c r="H891" s="2">
        <v>4</v>
      </c>
      <c r="I891" s="2" t="s">
        <v>1068</v>
      </c>
      <c r="J891" s="2" t="s">
        <v>1069</v>
      </c>
      <c r="K891" s="2"/>
      <c r="L891" s="2" t="str">
        <f>IFERROR(VLOOKUP(IFERROR(VLOOKUP(C891,'Destination Alias'!$A:$B,2,FALSE()),C891),'Best Months'!$A:$B,2,FALSE()),"Not listed")</f>
        <v>Jan–Mar</v>
      </c>
    </row>
    <row r="892" spans="1:19" x14ac:dyDescent="0.3">
      <c r="A892" s="2" t="s">
        <v>1067</v>
      </c>
      <c r="B892" s="2" t="s">
        <v>81</v>
      </c>
      <c r="C892" s="2" t="s">
        <v>119</v>
      </c>
      <c r="D892" s="3">
        <v>0.75</v>
      </c>
      <c r="E892" s="3">
        <v>0.95833333333333304</v>
      </c>
      <c r="F892" s="2" t="s">
        <v>546</v>
      </c>
      <c r="G892" s="2" t="s">
        <v>102</v>
      </c>
      <c r="H892" s="2">
        <v>4</v>
      </c>
      <c r="I892" s="2" t="s">
        <v>1068</v>
      </c>
      <c r="J892" s="2" t="s">
        <v>1069</v>
      </c>
      <c r="K892" s="2"/>
      <c r="L892" s="2" t="str">
        <f>IFERROR(VLOOKUP(IFERROR(VLOOKUP(C892,'Destination Alias'!$A:$B,2,FALSE()),C892),'Best Months'!$A:$B,2,FALSE()),"Not listed")</f>
        <v>Jan–Mar</v>
      </c>
    </row>
    <row r="893" spans="1:19" x14ac:dyDescent="0.3">
      <c r="A893" s="2" t="s">
        <v>1067</v>
      </c>
      <c r="B893" s="2" t="s">
        <v>81</v>
      </c>
      <c r="C893" s="2" t="s">
        <v>119</v>
      </c>
      <c r="D893" s="3">
        <v>0.27083333333333298</v>
      </c>
      <c r="E893" s="3">
        <v>0.47916666666666702</v>
      </c>
      <c r="F893" s="2" t="s">
        <v>546</v>
      </c>
      <c r="G893" s="2" t="s">
        <v>28</v>
      </c>
      <c r="H893" s="2">
        <v>4.0999999999999996</v>
      </c>
      <c r="I893" s="2" t="s">
        <v>1068</v>
      </c>
      <c r="J893" s="2" t="s">
        <v>1069</v>
      </c>
      <c r="K893" s="2"/>
      <c r="L893" s="2" t="str">
        <f>IFERROR(VLOOKUP(IFERROR(VLOOKUP(C893,'Destination Alias'!$A:$B,2,FALSE()),C893),'Best Months'!$A:$B,2,FALSE()),"Not listed")</f>
        <v>Jan–Mar</v>
      </c>
    </row>
    <row r="894" spans="1:19" x14ac:dyDescent="0.3">
      <c r="A894" s="2" t="s">
        <v>1070</v>
      </c>
      <c r="B894" s="2" t="s">
        <v>22</v>
      </c>
      <c r="C894" s="2" t="s">
        <v>44</v>
      </c>
      <c r="D894" s="3">
        <v>0.3125</v>
      </c>
      <c r="E894" s="3">
        <v>0.35416666666666702</v>
      </c>
      <c r="F894" s="2" t="s">
        <v>35</v>
      </c>
      <c r="G894" s="2" t="s">
        <v>38</v>
      </c>
      <c r="H894" s="2">
        <v>4.5999999999999996</v>
      </c>
      <c r="I894" s="2" t="s">
        <v>726</v>
      </c>
      <c r="J894" s="2" t="s">
        <v>1071</v>
      </c>
      <c r="K894" s="4" t="s">
        <v>1072</v>
      </c>
      <c r="L894" s="2" t="str">
        <f>IFERROR(VLOOKUP(IFERROR(VLOOKUP(C894,'Destination Alias'!$A:$B,2,FALSE()),C894),'Best Months'!$A:$B,2,FALSE()),"Not listed")</f>
        <v>Jan–Mar, Jul–Sep</v>
      </c>
      <c r="S894" t="s">
        <v>1072</v>
      </c>
    </row>
    <row r="895" spans="1:19" x14ac:dyDescent="0.3">
      <c r="A895" s="2" t="s">
        <v>1070</v>
      </c>
      <c r="B895" s="2" t="s">
        <v>22</v>
      </c>
      <c r="C895" s="2" t="s">
        <v>44</v>
      </c>
      <c r="D895" s="3">
        <v>0.35416666666666702</v>
      </c>
      <c r="E895" s="3">
        <v>0.39583333333333298</v>
      </c>
      <c r="F895" s="2" t="s">
        <v>35</v>
      </c>
      <c r="G895" s="2" t="s">
        <v>16</v>
      </c>
      <c r="H895" s="2">
        <v>4.5999999999999996</v>
      </c>
      <c r="I895" s="2" t="s">
        <v>726</v>
      </c>
      <c r="J895" s="2" t="s">
        <v>1071</v>
      </c>
      <c r="K895" s="4" t="s">
        <v>1072</v>
      </c>
      <c r="L895" s="2" t="str">
        <f>IFERROR(VLOOKUP(IFERROR(VLOOKUP(C895,'Destination Alias'!$A:$B,2,FALSE()),C895),'Best Months'!$A:$B,2,FALSE()),"Not listed")</f>
        <v>Jan–Mar, Jul–Sep</v>
      </c>
      <c r="S895" t="s">
        <v>1072</v>
      </c>
    </row>
    <row r="896" spans="1:19" x14ac:dyDescent="0.3">
      <c r="A896" s="2" t="s">
        <v>1073</v>
      </c>
      <c r="B896" s="2" t="s">
        <v>241</v>
      </c>
      <c r="C896" s="2" t="s">
        <v>65</v>
      </c>
      <c r="D896" s="3">
        <v>0.64583333333333304</v>
      </c>
      <c r="E896" s="3">
        <v>0.72916666666666696</v>
      </c>
      <c r="F896" s="2" t="s">
        <v>51</v>
      </c>
      <c r="G896" s="2" t="s">
        <v>73</v>
      </c>
      <c r="H896" s="2">
        <v>4.0999999999999996</v>
      </c>
      <c r="I896" s="2" t="s">
        <v>1074</v>
      </c>
      <c r="J896" s="2" t="s">
        <v>1075</v>
      </c>
      <c r="K896" s="4" t="s">
        <v>1076</v>
      </c>
      <c r="L896" s="2" t="str">
        <f>IFERROR(VLOOKUP(IFERROR(VLOOKUP(C896,'Destination Alias'!$A:$B,2,FALSE()),C896),'Best Months'!$A:$B,2,FALSE()),"Not listed")</f>
        <v>Dec–Mar</v>
      </c>
      <c r="S896" t="s">
        <v>1076</v>
      </c>
    </row>
    <row r="897" spans="1:19" x14ac:dyDescent="0.3">
      <c r="A897" s="2" t="s">
        <v>1077</v>
      </c>
      <c r="B897" s="2" t="s">
        <v>49</v>
      </c>
      <c r="C897" s="2" t="s">
        <v>65</v>
      </c>
      <c r="D897" s="3">
        <v>0.375</v>
      </c>
      <c r="E897" s="3">
        <v>0.40625</v>
      </c>
      <c r="F897" s="2" t="s">
        <v>90</v>
      </c>
      <c r="G897" s="2" t="s">
        <v>20</v>
      </c>
      <c r="H897" s="2">
        <v>4.5</v>
      </c>
      <c r="I897" s="2" t="s">
        <v>1078</v>
      </c>
      <c r="J897" s="2" t="s">
        <v>1079</v>
      </c>
      <c r="K897" s="4" t="s">
        <v>1080</v>
      </c>
      <c r="L897" s="2" t="str">
        <f>IFERROR(VLOOKUP(IFERROR(VLOOKUP(C897,'Destination Alias'!$A:$B,2,FALSE()),C897),'Best Months'!$A:$B,2,FALSE()),"Not listed")</f>
        <v>Dec–Mar</v>
      </c>
      <c r="S897" t="s">
        <v>1080</v>
      </c>
    </row>
    <row r="898" spans="1:19" x14ac:dyDescent="0.3">
      <c r="A898" s="2" t="s">
        <v>1077</v>
      </c>
      <c r="B898" s="2" t="s">
        <v>49</v>
      </c>
      <c r="C898" s="2" t="s">
        <v>65</v>
      </c>
      <c r="D898" s="3">
        <v>0.40625</v>
      </c>
      <c r="E898" s="3">
        <v>0.4375</v>
      </c>
      <c r="F898" s="2" t="s">
        <v>90</v>
      </c>
      <c r="G898" s="2" t="s">
        <v>20</v>
      </c>
      <c r="H898" s="2">
        <v>4.5</v>
      </c>
      <c r="I898" s="2" t="s">
        <v>1078</v>
      </c>
      <c r="J898" s="2" t="s">
        <v>1079</v>
      </c>
      <c r="K898" s="4" t="s">
        <v>1080</v>
      </c>
      <c r="L898" s="2" t="str">
        <f>IFERROR(VLOOKUP(IFERROR(VLOOKUP(C898,'Destination Alias'!$A:$B,2,FALSE()),C898),'Best Months'!$A:$B,2,FALSE()),"Not listed")</f>
        <v>Dec–Mar</v>
      </c>
      <c r="S898" t="s">
        <v>1080</v>
      </c>
    </row>
    <row r="899" spans="1:19" x14ac:dyDescent="0.3">
      <c r="A899" s="2" t="s">
        <v>1077</v>
      </c>
      <c r="B899" s="2" t="s">
        <v>49</v>
      </c>
      <c r="C899" s="2" t="s">
        <v>65</v>
      </c>
      <c r="D899" s="3">
        <v>0.4375</v>
      </c>
      <c r="E899" s="3">
        <v>0.46875</v>
      </c>
      <c r="F899" s="2" t="s">
        <v>90</v>
      </c>
      <c r="G899" s="2" t="s">
        <v>20</v>
      </c>
      <c r="H899" s="2">
        <v>4.5</v>
      </c>
      <c r="I899" s="2" t="s">
        <v>1078</v>
      </c>
      <c r="J899" s="2" t="s">
        <v>1079</v>
      </c>
      <c r="K899" s="4" t="s">
        <v>1080</v>
      </c>
      <c r="L899" s="2" t="str">
        <f>IFERROR(VLOOKUP(IFERROR(VLOOKUP(C899,'Destination Alias'!$A:$B,2,FALSE()),C899),'Best Months'!$A:$B,2,FALSE()),"Not listed")</f>
        <v>Dec–Mar</v>
      </c>
      <c r="S899" t="s">
        <v>1080</v>
      </c>
    </row>
    <row r="900" spans="1:19" x14ac:dyDescent="0.3">
      <c r="A900" s="2" t="s">
        <v>1077</v>
      </c>
      <c r="B900" s="2" t="s">
        <v>49</v>
      </c>
      <c r="C900" s="2" t="s">
        <v>65</v>
      </c>
      <c r="D900" s="3">
        <v>0.46875</v>
      </c>
      <c r="E900" s="3">
        <v>0.5</v>
      </c>
      <c r="F900" s="2" t="s">
        <v>90</v>
      </c>
      <c r="G900" s="2" t="s">
        <v>220</v>
      </c>
      <c r="H900" s="2">
        <v>4.5</v>
      </c>
      <c r="I900" s="2" t="s">
        <v>1078</v>
      </c>
      <c r="J900" s="2" t="s">
        <v>1079</v>
      </c>
      <c r="K900" s="4" t="s">
        <v>1080</v>
      </c>
      <c r="L900" s="2" t="str">
        <f>IFERROR(VLOOKUP(IFERROR(VLOOKUP(C900,'Destination Alias'!$A:$B,2,FALSE()),C900),'Best Months'!$A:$B,2,FALSE()),"Not listed")</f>
        <v>Dec–Mar</v>
      </c>
      <c r="S900" t="s">
        <v>1080</v>
      </c>
    </row>
    <row r="901" spans="1:19" ht="315" customHeight="1" x14ac:dyDescent="0.3">
      <c r="A901" s="2" t="s">
        <v>1081</v>
      </c>
      <c r="B901" s="2" t="s">
        <v>22</v>
      </c>
      <c r="C901" s="2" t="s">
        <v>104</v>
      </c>
      <c r="D901" s="3">
        <v>0.22916666666666699</v>
      </c>
      <c r="E901" s="3">
        <v>0.3125</v>
      </c>
      <c r="F901" s="2" t="s">
        <v>51</v>
      </c>
      <c r="G901" s="2" t="s">
        <v>28</v>
      </c>
      <c r="H901" s="2">
        <v>5</v>
      </c>
      <c r="I901" s="2" t="s">
        <v>1082</v>
      </c>
      <c r="J901" s="2" t="s">
        <v>1083</v>
      </c>
      <c r="K901" s="2"/>
      <c r="L901" s="2" t="str">
        <f>IFERROR(VLOOKUP(IFERROR(VLOOKUP(C901,'Destination Alias'!$A:$B,2,FALSE()),C901),'Best Months'!$A:$B,2,FALSE()),"Not listed")</f>
        <v>Jan–Mar, Jul–Aug</v>
      </c>
    </row>
    <row r="902" spans="1:19" x14ac:dyDescent="0.3">
      <c r="A902" s="2" t="s">
        <v>1081</v>
      </c>
      <c r="B902" s="2" t="s">
        <v>22</v>
      </c>
      <c r="C902" s="2" t="s">
        <v>104</v>
      </c>
      <c r="D902" s="3">
        <v>0.27083333333333298</v>
      </c>
      <c r="E902" s="3">
        <v>0.35416666666666702</v>
      </c>
      <c r="F902" s="2" t="s">
        <v>51</v>
      </c>
      <c r="G902" s="2" t="s">
        <v>28</v>
      </c>
      <c r="H902" s="2">
        <v>4</v>
      </c>
      <c r="I902" s="2" t="s">
        <v>1082</v>
      </c>
      <c r="J902" s="2" t="s">
        <v>1083</v>
      </c>
      <c r="K902" s="2"/>
      <c r="L902" s="2" t="str">
        <f>IFERROR(VLOOKUP(IFERROR(VLOOKUP(C902,'Destination Alias'!$A:$B,2,FALSE()),C902),'Best Months'!$A:$B,2,FALSE()),"Not listed")</f>
        <v>Jan–Mar, Jul–Aug</v>
      </c>
    </row>
    <row r="903" spans="1:19" x14ac:dyDescent="0.3">
      <c r="A903" s="2" t="s">
        <v>1081</v>
      </c>
      <c r="B903" s="2" t="s">
        <v>22</v>
      </c>
      <c r="C903" s="2" t="s">
        <v>104</v>
      </c>
      <c r="D903" s="3">
        <v>0.29166666666666702</v>
      </c>
      <c r="E903" s="3">
        <v>0.375</v>
      </c>
      <c r="F903" s="2" t="s">
        <v>51</v>
      </c>
      <c r="G903" s="2" t="s">
        <v>38</v>
      </c>
      <c r="H903" s="2">
        <v>5</v>
      </c>
      <c r="I903" s="2" t="s">
        <v>1082</v>
      </c>
      <c r="J903" s="2" t="s">
        <v>1083</v>
      </c>
      <c r="K903" s="2"/>
      <c r="L903" s="2" t="str">
        <f>IFERROR(VLOOKUP(IFERROR(VLOOKUP(C903,'Destination Alias'!$A:$B,2,FALSE()),C903),'Best Months'!$A:$B,2,FALSE()),"Not listed")</f>
        <v>Jan–Mar, Jul–Aug</v>
      </c>
    </row>
    <row r="904" spans="1:19" x14ac:dyDescent="0.3">
      <c r="A904" s="2" t="s">
        <v>1081</v>
      </c>
      <c r="B904" s="2" t="s">
        <v>22</v>
      </c>
      <c r="C904" s="2" t="s">
        <v>104</v>
      </c>
      <c r="D904" s="3">
        <v>0.35416666666666702</v>
      </c>
      <c r="E904" s="3">
        <v>0.4375</v>
      </c>
      <c r="F904" s="2" t="s">
        <v>51</v>
      </c>
      <c r="G904" s="2" t="s">
        <v>16</v>
      </c>
      <c r="H904" s="2">
        <v>5</v>
      </c>
      <c r="I904" s="2" t="s">
        <v>1082</v>
      </c>
      <c r="J904" s="2" t="s">
        <v>1083</v>
      </c>
      <c r="K904" s="2"/>
      <c r="L904" s="2" t="str">
        <f>IFERROR(VLOOKUP(IFERROR(VLOOKUP(C904,'Destination Alias'!$A:$B,2,FALSE()),C904),'Best Months'!$A:$B,2,FALSE()),"Not listed")</f>
        <v>Jan–Mar, Jul–Aug</v>
      </c>
    </row>
    <row r="905" spans="1:19" x14ac:dyDescent="0.3">
      <c r="A905" s="2" t="s">
        <v>1081</v>
      </c>
      <c r="B905" s="2" t="s">
        <v>22</v>
      </c>
      <c r="C905" s="2" t="s">
        <v>104</v>
      </c>
      <c r="D905" s="3">
        <v>0.39583333333333298</v>
      </c>
      <c r="E905" s="3">
        <v>0.47916666666666702</v>
      </c>
      <c r="F905" s="2" t="s">
        <v>51</v>
      </c>
      <c r="G905" s="2" t="s">
        <v>20</v>
      </c>
      <c r="H905" s="2">
        <v>4</v>
      </c>
      <c r="I905" s="2" t="s">
        <v>1082</v>
      </c>
      <c r="J905" s="2" t="s">
        <v>1083</v>
      </c>
      <c r="K905" s="2"/>
      <c r="L905" s="2" t="str">
        <f>IFERROR(VLOOKUP(IFERROR(VLOOKUP(C905,'Destination Alias'!$A:$B,2,FALSE()),C905),'Best Months'!$A:$B,2,FALSE()),"Not listed")</f>
        <v>Jan–Mar, Jul–Aug</v>
      </c>
    </row>
    <row r="906" spans="1:19" x14ac:dyDescent="0.3">
      <c r="A906" s="2" t="s">
        <v>1081</v>
      </c>
      <c r="B906" s="2" t="s">
        <v>22</v>
      </c>
      <c r="C906" s="2" t="s">
        <v>104</v>
      </c>
      <c r="D906" s="3">
        <v>0.4375</v>
      </c>
      <c r="E906" s="3">
        <v>0.52083333333333304</v>
      </c>
      <c r="F906" s="2" t="s">
        <v>51</v>
      </c>
      <c r="G906" s="2" t="s">
        <v>20</v>
      </c>
      <c r="H906" s="2">
        <v>5</v>
      </c>
      <c r="I906" s="2" t="s">
        <v>1082</v>
      </c>
      <c r="J906" s="2" t="s">
        <v>1083</v>
      </c>
      <c r="K906" s="2"/>
      <c r="L906" s="2" t="str">
        <f>IFERROR(VLOOKUP(IFERROR(VLOOKUP(C906,'Destination Alias'!$A:$B,2,FALSE()),C906),'Best Months'!$A:$B,2,FALSE()),"Not listed")</f>
        <v>Jan–Mar, Jul–Aug</v>
      </c>
    </row>
    <row r="907" spans="1:19" x14ac:dyDescent="0.3">
      <c r="A907" s="2" t="s">
        <v>1081</v>
      </c>
      <c r="B907" s="2" t="s">
        <v>22</v>
      </c>
      <c r="C907" s="2" t="s">
        <v>104</v>
      </c>
      <c r="D907" s="3">
        <v>0.5</v>
      </c>
      <c r="E907" s="3">
        <v>0.58333333333333304</v>
      </c>
      <c r="F907" s="2" t="s">
        <v>51</v>
      </c>
      <c r="G907" s="2" t="s">
        <v>220</v>
      </c>
      <c r="H907" s="2">
        <v>5</v>
      </c>
      <c r="I907" s="2" t="s">
        <v>1082</v>
      </c>
      <c r="J907" s="2" t="s">
        <v>1083</v>
      </c>
      <c r="K907" s="2"/>
      <c r="L907" s="2" t="str">
        <f>IFERROR(VLOOKUP(IFERROR(VLOOKUP(C907,'Destination Alias'!$A:$B,2,FALSE()),C907),'Best Months'!$A:$B,2,FALSE()),"Not listed")</f>
        <v>Jan–Mar, Jul–Aug</v>
      </c>
    </row>
    <row r="908" spans="1:19" x14ac:dyDescent="0.3">
      <c r="A908" s="2" t="s">
        <v>1081</v>
      </c>
      <c r="B908" s="2" t="s">
        <v>22</v>
      </c>
      <c r="C908" s="2" t="s">
        <v>104</v>
      </c>
      <c r="D908" s="3">
        <v>0.625</v>
      </c>
      <c r="E908" s="3">
        <v>0.70833333333333304</v>
      </c>
      <c r="F908" s="2" t="s">
        <v>51</v>
      </c>
      <c r="G908" s="2" t="s">
        <v>73</v>
      </c>
      <c r="H908" s="2">
        <v>5</v>
      </c>
      <c r="I908" s="2" t="s">
        <v>1082</v>
      </c>
      <c r="J908" s="2" t="s">
        <v>1083</v>
      </c>
      <c r="K908" s="2"/>
      <c r="L908" s="2" t="str">
        <f>IFERROR(VLOOKUP(IFERROR(VLOOKUP(C908,'Destination Alias'!$A:$B,2,FALSE()),C908),'Best Months'!$A:$B,2,FALSE()),"Not listed")</f>
        <v>Jan–Mar, Jul–Aug</v>
      </c>
    </row>
    <row r="909" spans="1:19" x14ac:dyDescent="0.3">
      <c r="A909" s="2" t="s">
        <v>1081</v>
      </c>
      <c r="B909" s="2" t="s">
        <v>22</v>
      </c>
      <c r="C909" s="2" t="s">
        <v>104</v>
      </c>
      <c r="D909" s="3">
        <v>0.66666666666666696</v>
      </c>
      <c r="E909" s="3">
        <v>0.75</v>
      </c>
      <c r="F909" s="2" t="s">
        <v>51</v>
      </c>
      <c r="G909" s="2" t="s">
        <v>73</v>
      </c>
      <c r="H909" s="2">
        <v>4</v>
      </c>
      <c r="I909" s="2" t="s">
        <v>1082</v>
      </c>
      <c r="J909" s="2" t="s">
        <v>1083</v>
      </c>
      <c r="K909" s="2"/>
      <c r="L909" s="2" t="str">
        <f>IFERROR(VLOOKUP(IFERROR(VLOOKUP(C909,'Destination Alias'!$A:$B,2,FALSE()),C909),'Best Months'!$A:$B,2,FALSE()),"Not listed")</f>
        <v>Jan–Mar, Jul–Aug</v>
      </c>
    </row>
    <row r="910" spans="1:19" x14ac:dyDescent="0.3">
      <c r="A910" s="2" t="s">
        <v>1081</v>
      </c>
      <c r="B910" s="2" t="s">
        <v>22</v>
      </c>
      <c r="C910" s="2" t="s">
        <v>104</v>
      </c>
      <c r="D910" s="3">
        <v>0.6875</v>
      </c>
      <c r="E910" s="3">
        <v>0.77083333333333304</v>
      </c>
      <c r="F910" s="2" t="s">
        <v>51</v>
      </c>
      <c r="G910" s="2" t="s">
        <v>73</v>
      </c>
      <c r="H910" s="2">
        <v>4</v>
      </c>
      <c r="I910" s="2" t="s">
        <v>1082</v>
      </c>
      <c r="J910" s="2" t="s">
        <v>1083</v>
      </c>
      <c r="K910" s="2"/>
      <c r="L910" s="2" t="str">
        <f>IFERROR(VLOOKUP(IFERROR(VLOOKUP(C910,'Destination Alias'!$A:$B,2,FALSE()),C910),'Best Months'!$A:$B,2,FALSE()),"Not listed")</f>
        <v>Jan–Mar, Jul–Aug</v>
      </c>
    </row>
    <row r="911" spans="1:19" x14ac:dyDescent="0.3">
      <c r="A911" s="2" t="s">
        <v>1081</v>
      </c>
      <c r="B911" s="2" t="s">
        <v>22</v>
      </c>
      <c r="C911" s="2" t="s">
        <v>104</v>
      </c>
      <c r="D911" s="3">
        <v>0.70833333333333304</v>
      </c>
      <c r="E911" s="3">
        <v>0.79166666666666696</v>
      </c>
      <c r="F911" s="2" t="s">
        <v>51</v>
      </c>
      <c r="G911" s="2" t="s">
        <v>52</v>
      </c>
      <c r="H911" s="2">
        <v>3</v>
      </c>
      <c r="I911" s="2" t="s">
        <v>1082</v>
      </c>
      <c r="J911" s="2" t="s">
        <v>1083</v>
      </c>
      <c r="K911" s="2"/>
      <c r="L911" s="2" t="str">
        <f>IFERROR(VLOOKUP(IFERROR(VLOOKUP(C911,'Destination Alias'!$A:$B,2,FALSE()),C911),'Best Months'!$A:$B,2,FALSE()),"Not listed")</f>
        <v>Jan–Mar, Jul–Aug</v>
      </c>
    </row>
    <row r="912" spans="1:19" x14ac:dyDescent="0.3">
      <c r="A912" s="2" t="s">
        <v>1081</v>
      </c>
      <c r="B912" s="2" t="s">
        <v>22</v>
      </c>
      <c r="C912" s="2" t="s">
        <v>104</v>
      </c>
      <c r="D912" s="3">
        <v>0.72916666666666696</v>
      </c>
      <c r="E912" s="3">
        <v>0.8125</v>
      </c>
      <c r="F912" s="2" t="s">
        <v>51</v>
      </c>
      <c r="G912" s="2" t="s">
        <v>52</v>
      </c>
      <c r="H912" s="2">
        <v>5</v>
      </c>
      <c r="I912" s="2" t="s">
        <v>1082</v>
      </c>
      <c r="J912" s="2" t="s">
        <v>1083</v>
      </c>
      <c r="K912" s="2"/>
      <c r="L912" s="2" t="str">
        <f>IFERROR(VLOOKUP(IFERROR(VLOOKUP(C912,'Destination Alias'!$A:$B,2,FALSE()),C912),'Best Months'!$A:$B,2,FALSE()),"Not listed")</f>
        <v>Jan–Mar, Jul–Aug</v>
      </c>
    </row>
    <row r="913" spans="1:19" x14ac:dyDescent="0.3">
      <c r="A913" s="2" t="s">
        <v>1081</v>
      </c>
      <c r="B913" s="2" t="s">
        <v>22</v>
      </c>
      <c r="C913" s="2" t="s">
        <v>104</v>
      </c>
      <c r="D913" s="3">
        <v>0.73958333333333304</v>
      </c>
      <c r="E913" s="3">
        <v>0.82291666666666696</v>
      </c>
      <c r="F913" s="2" t="s">
        <v>51</v>
      </c>
      <c r="G913" s="2" t="s">
        <v>52</v>
      </c>
      <c r="H913" s="2">
        <v>5</v>
      </c>
      <c r="I913" s="2" t="s">
        <v>1082</v>
      </c>
      <c r="J913" s="2" t="s">
        <v>1083</v>
      </c>
      <c r="K913" s="2"/>
      <c r="L913" s="2" t="str">
        <f>IFERROR(VLOOKUP(IFERROR(VLOOKUP(C913,'Destination Alias'!$A:$B,2,FALSE()),C913),'Best Months'!$A:$B,2,FALSE()),"Not listed")</f>
        <v>Jan–Mar, Jul–Aug</v>
      </c>
    </row>
    <row r="914" spans="1:19" x14ac:dyDescent="0.3">
      <c r="A914" s="2" t="s">
        <v>1081</v>
      </c>
      <c r="B914" s="2" t="s">
        <v>22</v>
      </c>
      <c r="C914" s="2" t="s">
        <v>104</v>
      </c>
      <c r="D914" s="3">
        <v>0.75</v>
      </c>
      <c r="E914" s="3">
        <v>0.83333333333333304</v>
      </c>
      <c r="F914" s="2" t="s">
        <v>51</v>
      </c>
      <c r="G914" s="2" t="s">
        <v>102</v>
      </c>
      <c r="H914" s="2">
        <v>5</v>
      </c>
      <c r="I914" s="2" t="s">
        <v>1082</v>
      </c>
      <c r="J914" s="2" t="s">
        <v>1083</v>
      </c>
      <c r="K914" s="2"/>
      <c r="L914" s="2" t="str">
        <f>IFERROR(VLOOKUP(IFERROR(VLOOKUP(C914,'Destination Alias'!$A:$B,2,FALSE()),C914),'Best Months'!$A:$B,2,FALSE()),"Not listed")</f>
        <v>Jan–Mar, Jul–Aug</v>
      </c>
    </row>
    <row r="915" spans="1:19" x14ac:dyDescent="0.3">
      <c r="A915" s="2" t="s">
        <v>1081</v>
      </c>
      <c r="B915" s="2" t="s">
        <v>22</v>
      </c>
      <c r="C915" s="2" t="s">
        <v>104</v>
      </c>
      <c r="D915" s="3">
        <v>0.77083333333333304</v>
      </c>
      <c r="E915" s="3">
        <v>0.85416666666666696</v>
      </c>
      <c r="F915" s="2" t="s">
        <v>51</v>
      </c>
      <c r="G915" s="2" t="s">
        <v>102</v>
      </c>
      <c r="H915" s="2">
        <v>4</v>
      </c>
      <c r="I915" s="2" t="s">
        <v>1082</v>
      </c>
      <c r="J915" s="2" t="s">
        <v>1083</v>
      </c>
      <c r="K915" s="2"/>
      <c r="L915" s="2" t="str">
        <f>IFERROR(VLOOKUP(IFERROR(VLOOKUP(C915,'Destination Alias'!$A:$B,2,FALSE()),C915),'Best Months'!$A:$B,2,FALSE()),"Not listed")</f>
        <v>Jan–Mar, Jul–Aug</v>
      </c>
    </row>
    <row r="916" spans="1:19" x14ac:dyDescent="0.3">
      <c r="A916" s="2" t="s">
        <v>1081</v>
      </c>
      <c r="B916" s="2" t="s">
        <v>22</v>
      </c>
      <c r="C916" s="2" t="s">
        <v>104</v>
      </c>
      <c r="D916" s="3">
        <v>0.83333333333333304</v>
      </c>
      <c r="E916" s="3">
        <v>0.91666666666666696</v>
      </c>
      <c r="F916" s="2" t="s">
        <v>51</v>
      </c>
      <c r="G916" s="2" t="s">
        <v>380</v>
      </c>
      <c r="H916" s="2">
        <v>4</v>
      </c>
      <c r="I916" s="2" t="s">
        <v>1082</v>
      </c>
      <c r="J916" s="2" t="s">
        <v>1083</v>
      </c>
      <c r="K916" s="2"/>
      <c r="L916" s="2" t="str">
        <f>IFERROR(VLOOKUP(IFERROR(VLOOKUP(C916,'Destination Alias'!$A:$B,2,FALSE()),C916),'Best Months'!$A:$B,2,FALSE()),"Not listed")</f>
        <v>Jan–Mar, Jul–Aug</v>
      </c>
    </row>
    <row r="917" spans="1:19" x14ac:dyDescent="0.3">
      <c r="A917" s="2" t="s">
        <v>1084</v>
      </c>
      <c r="B917" s="2" t="s">
        <v>22</v>
      </c>
      <c r="C917" s="2" t="s">
        <v>50</v>
      </c>
      <c r="D917" s="3">
        <v>0.72916666666666696</v>
      </c>
      <c r="E917" s="3">
        <v>0.77083333333333304</v>
      </c>
      <c r="F917" s="2" t="s">
        <v>35</v>
      </c>
      <c r="G917" s="2" t="s">
        <v>52</v>
      </c>
      <c r="H917" s="2">
        <v>4.5999999999999996</v>
      </c>
      <c r="I917" s="2" t="s">
        <v>566</v>
      </c>
      <c r="J917" s="2" t="s">
        <v>1085</v>
      </c>
      <c r="K917" s="4" t="s">
        <v>1086</v>
      </c>
      <c r="L917" s="2" t="str">
        <f>IFERROR(VLOOKUP(IFERROR(VLOOKUP(C917,'Destination Alias'!$A:$B,2,FALSE()),C917),'Best Months'!$A:$B,2,FALSE()),"Not listed")</f>
        <v>Dec–Mar</v>
      </c>
      <c r="S917" t="s">
        <v>1086</v>
      </c>
    </row>
    <row r="918" spans="1:19" x14ac:dyDescent="0.3">
      <c r="A918" s="2" t="s">
        <v>1084</v>
      </c>
      <c r="B918" s="2" t="s">
        <v>22</v>
      </c>
      <c r="C918" s="2" t="s">
        <v>50</v>
      </c>
      <c r="D918" s="3">
        <v>0.77083333333333304</v>
      </c>
      <c r="E918" s="3">
        <v>0.8125</v>
      </c>
      <c r="F918" s="2" t="s">
        <v>35</v>
      </c>
      <c r="G918" s="2" t="s">
        <v>102</v>
      </c>
      <c r="H918" s="2">
        <v>4.5999999999999996</v>
      </c>
      <c r="I918" s="2" t="s">
        <v>566</v>
      </c>
      <c r="J918" s="2" t="s">
        <v>1085</v>
      </c>
      <c r="K918" s="4" t="s">
        <v>1086</v>
      </c>
      <c r="L918" s="2" t="str">
        <f>IFERROR(VLOOKUP(IFERROR(VLOOKUP(C918,'Destination Alias'!$A:$B,2,FALSE()),C918),'Best Months'!$A:$B,2,FALSE()),"Not listed")</f>
        <v>Dec–Mar</v>
      </c>
      <c r="S918" t="s">
        <v>1086</v>
      </c>
    </row>
    <row r="919" spans="1:19" x14ac:dyDescent="0.3">
      <c r="A919" s="2" t="s">
        <v>1087</v>
      </c>
      <c r="B919" s="2" t="s">
        <v>49</v>
      </c>
      <c r="C919" s="2" t="s">
        <v>50</v>
      </c>
      <c r="D919" s="3">
        <v>0.4375</v>
      </c>
      <c r="E919" s="3">
        <v>0.47916666666666702</v>
      </c>
      <c r="F919" s="2" t="s">
        <v>35</v>
      </c>
      <c r="G919" s="2" t="s">
        <v>20</v>
      </c>
      <c r="H919" s="2">
        <v>4.5</v>
      </c>
      <c r="I919" s="2" t="s">
        <v>1088</v>
      </c>
      <c r="J919" s="2" t="s">
        <v>1089</v>
      </c>
      <c r="K919" s="4" t="s">
        <v>1090</v>
      </c>
      <c r="L919" s="2" t="str">
        <f>IFERROR(VLOOKUP(IFERROR(VLOOKUP(C919,'Destination Alias'!$A:$B,2,FALSE()),C919),'Best Months'!$A:$B,2,FALSE()),"Not listed")</f>
        <v>Dec–Mar</v>
      </c>
      <c r="S919" t="s">
        <v>1090</v>
      </c>
    </row>
    <row r="920" spans="1:19" x14ac:dyDescent="0.3">
      <c r="A920" s="2" t="s">
        <v>1087</v>
      </c>
      <c r="B920" s="2" t="s">
        <v>49</v>
      </c>
      <c r="C920" s="2" t="s">
        <v>50</v>
      </c>
      <c r="D920" s="3">
        <v>0.47916666666666702</v>
      </c>
      <c r="E920" s="3">
        <v>0.52083333333333304</v>
      </c>
      <c r="F920" s="2" t="s">
        <v>35</v>
      </c>
      <c r="G920" s="2" t="s">
        <v>220</v>
      </c>
      <c r="H920" s="2">
        <v>4.5</v>
      </c>
      <c r="I920" s="2" t="s">
        <v>1088</v>
      </c>
      <c r="J920" s="2" t="s">
        <v>1089</v>
      </c>
      <c r="K920" s="4" t="s">
        <v>1090</v>
      </c>
      <c r="L920" s="2" t="str">
        <f>IFERROR(VLOOKUP(IFERROR(VLOOKUP(C920,'Destination Alias'!$A:$B,2,FALSE()),C920),'Best Months'!$A:$B,2,FALSE()),"Not listed")</f>
        <v>Dec–Mar</v>
      </c>
      <c r="S920" t="s">
        <v>1090</v>
      </c>
    </row>
    <row r="921" spans="1:19" x14ac:dyDescent="0.3">
      <c r="A921" s="2" t="s">
        <v>1087</v>
      </c>
      <c r="B921" s="2" t="s">
        <v>49</v>
      </c>
      <c r="C921" s="2" t="s">
        <v>50</v>
      </c>
      <c r="D921" s="3">
        <v>0.52083333333333304</v>
      </c>
      <c r="E921" s="3">
        <v>0.5625</v>
      </c>
      <c r="F921" s="2" t="s">
        <v>35</v>
      </c>
      <c r="G921" s="2" t="s">
        <v>199</v>
      </c>
      <c r="H921" s="2">
        <v>4.5</v>
      </c>
      <c r="I921" s="2" t="s">
        <v>1088</v>
      </c>
      <c r="J921" s="2" t="s">
        <v>1089</v>
      </c>
      <c r="K921" s="4" t="s">
        <v>1090</v>
      </c>
      <c r="L921" s="2" t="str">
        <f>IFERROR(VLOOKUP(IFERROR(VLOOKUP(C921,'Destination Alias'!$A:$B,2,FALSE()),C921),'Best Months'!$A:$B,2,FALSE()),"Not listed")</f>
        <v>Dec–Mar</v>
      </c>
      <c r="S921" t="s">
        <v>1090</v>
      </c>
    </row>
    <row r="922" spans="1:19" x14ac:dyDescent="0.3">
      <c r="A922" s="2" t="s">
        <v>1091</v>
      </c>
      <c r="B922" s="2" t="s">
        <v>22</v>
      </c>
      <c r="C922" s="2" t="s">
        <v>137</v>
      </c>
      <c r="D922" s="3">
        <v>0.27083333333333298</v>
      </c>
      <c r="E922" s="3">
        <v>0.3125</v>
      </c>
      <c r="F922" s="2" t="s">
        <v>35</v>
      </c>
      <c r="G922" s="2" t="s">
        <v>28</v>
      </c>
      <c r="H922" s="2">
        <v>4.5999999999999996</v>
      </c>
      <c r="I922" s="2" t="s">
        <v>726</v>
      </c>
      <c r="J922" s="2" t="s">
        <v>1092</v>
      </c>
      <c r="K922" s="4" t="s">
        <v>1093</v>
      </c>
      <c r="L922" s="2" t="str">
        <f>IFERROR(VLOOKUP(IFERROR(VLOOKUP(C922,'Destination Alias'!$A:$B,2,FALSE()),C922),'Best Months'!$A:$B,2,FALSE()),"Not listed")</f>
        <v>Jan–Mar</v>
      </c>
      <c r="S922" t="s">
        <v>1093</v>
      </c>
    </row>
    <row r="923" spans="1:19" x14ac:dyDescent="0.3">
      <c r="A923" s="2" t="s">
        <v>1091</v>
      </c>
      <c r="B923" s="2" t="s">
        <v>22</v>
      </c>
      <c r="C923" s="2" t="s">
        <v>137</v>
      </c>
      <c r="D923" s="3">
        <v>0.3125</v>
      </c>
      <c r="E923" s="3">
        <v>0.35416666666666702</v>
      </c>
      <c r="F923" s="2" t="s">
        <v>35</v>
      </c>
      <c r="G923" s="2" t="s">
        <v>38</v>
      </c>
      <c r="H923" s="2">
        <v>4.5999999999999996</v>
      </c>
      <c r="I923" s="2" t="s">
        <v>726</v>
      </c>
      <c r="J923" s="2" t="s">
        <v>1092</v>
      </c>
      <c r="K923" s="4" t="s">
        <v>1093</v>
      </c>
      <c r="L923" s="2" t="str">
        <f>IFERROR(VLOOKUP(IFERROR(VLOOKUP(C923,'Destination Alias'!$A:$B,2,FALSE()),C923),'Best Months'!$A:$B,2,FALSE()),"Not listed")</f>
        <v>Jan–Mar</v>
      </c>
      <c r="S923" t="s">
        <v>1093</v>
      </c>
    </row>
    <row r="924" spans="1:19" x14ac:dyDescent="0.3">
      <c r="A924" s="2" t="s">
        <v>1091</v>
      </c>
      <c r="B924" s="2" t="s">
        <v>22</v>
      </c>
      <c r="C924" s="2" t="s">
        <v>137</v>
      </c>
      <c r="D924" s="3">
        <v>0.35416666666666702</v>
      </c>
      <c r="E924" s="3">
        <v>0.39583333333333298</v>
      </c>
      <c r="F924" s="2" t="s">
        <v>35</v>
      </c>
      <c r="G924" s="2" t="s">
        <v>16</v>
      </c>
      <c r="H924" s="2">
        <v>4.5999999999999996</v>
      </c>
      <c r="I924" s="2" t="s">
        <v>726</v>
      </c>
      <c r="J924" s="2" t="s">
        <v>1092</v>
      </c>
      <c r="K924" s="4" t="s">
        <v>1093</v>
      </c>
      <c r="L924" s="2" t="str">
        <f>IFERROR(VLOOKUP(IFERROR(VLOOKUP(C924,'Destination Alias'!$A:$B,2,FALSE()),C924),'Best Months'!$A:$B,2,FALSE()),"Not listed")</f>
        <v>Jan–Mar</v>
      </c>
      <c r="S924" t="s">
        <v>1093</v>
      </c>
    </row>
    <row r="925" spans="1:19" x14ac:dyDescent="0.3">
      <c r="A925" s="2" t="s">
        <v>1094</v>
      </c>
      <c r="B925" s="2" t="s">
        <v>22</v>
      </c>
      <c r="C925" s="2" t="s">
        <v>119</v>
      </c>
      <c r="D925" s="3">
        <v>8.3333333333333301E-2</v>
      </c>
      <c r="E925" s="3">
        <v>0.375</v>
      </c>
      <c r="F925" s="2" t="s">
        <v>1095</v>
      </c>
      <c r="G925" s="2" t="s">
        <v>52</v>
      </c>
      <c r="H925" s="2">
        <v>5</v>
      </c>
      <c r="I925" s="2" t="s">
        <v>1096</v>
      </c>
      <c r="J925" s="2" t="s">
        <v>1097</v>
      </c>
      <c r="K925" s="2"/>
      <c r="L925" s="2" t="str">
        <f>IFERROR(VLOOKUP(IFERROR(VLOOKUP(C925,'Destination Alias'!$A:$B,2,FALSE()),C925),'Best Months'!$A:$B,2,FALSE()),"Not listed")</f>
        <v>Jan–Mar</v>
      </c>
    </row>
    <row r="926" spans="1:19" x14ac:dyDescent="0.3">
      <c r="A926" s="2" t="s">
        <v>1094</v>
      </c>
      <c r="B926" s="2" t="s">
        <v>22</v>
      </c>
      <c r="C926" s="2" t="s">
        <v>119</v>
      </c>
      <c r="D926" s="3">
        <v>8.3333333333333301E-2</v>
      </c>
      <c r="E926" s="3">
        <v>0.41666666666666702</v>
      </c>
      <c r="F926" s="2" t="s">
        <v>1095</v>
      </c>
      <c r="G926" s="2" t="s">
        <v>52</v>
      </c>
      <c r="H926" s="2">
        <v>5</v>
      </c>
      <c r="I926" s="2" t="s">
        <v>1096</v>
      </c>
      <c r="J926" s="2" t="s">
        <v>1097</v>
      </c>
      <c r="K926" s="2"/>
      <c r="L926" s="2" t="str">
        <f>IFERROR(VLOOKUP(IFERROR(VLOOKUP(C926,'Destination Alias'!$A:$B,2,FALSE()),C926),'Best Months'!$A:$B,2,FALSE()),"Not listed")</f>
        <v>Jan–Mar</v>
      </c>
    </row>
    <row r="927" spans="1:19" x14ac:dyDescent="0.3">
      <c r="A927" s="2" t="s">
        <v>1094</v>
      </c>
      <c r="B927" s="2" t="s">
        <v>22</v>
      </c>
      <c r="C927" s="2" t="s">
        <v>119</v>
      </c>
      <c r="D927" s="3">
        <v>8.7499999999999994E-2</v>
      </c>
      <c r="E927" s="3">
        <v>0.37916666666666698</v>
      </c>
      <c r="F927" s="2" t="s">
        <v>1095</v>
      </c>
      <c r="G927" s="2" t="s">
        <v>52</v>
      </c>
      <c r="H927" s="2">
        <v>5</v>
      </c>
      <c r="I927" s="2" t="s">
        <v>1096</v>
      </c>
      <c r="J927" s="2" t="s">
        <v>1097</v>
      </c>
      <c r="K927" s="2"/>
      <c r="L927" s="2" t="str">
        <f>IFERROR(VLOOKUP(IFERROR(VLOOKUP(C927,'Destination Alias'!$A:$B,2,FALSE()),C927),'Best Months'!$A:$B,2,FALSE()),"Not listed")</f>
        <v>Jan–Mar</v>
      </c>
    </row>
    <row r="928" spans="1:19" x14ac:dyDescent="0.3">
      <c r="A928" s="2" t="s">
        <v>1094</v>
      </c>
      <c r="B928" s="2" t="s">
        <v>22</v>
      </c>
      <c r="C928" s="2" t="s">
        <v>119</v>
      </c>
      <c r="D928" s="3">
        <v>9.375E-2</v>
      </c>
      <c r="E928" s="3">
        <v>0.38541666666666702</v>
      </c>
      <c r="F928" s="2" t="s">
        <v>1095</v>
      </c>
      <c r="G928" s="2" t="s">
        <v>52</v>
      </c>
      <c r="H928" s="2">
        <v>3</v>
      </c>
      <c r="I928" s="2" t="s">
        <v>1096</v>
      </c>
      <c r="J928" s="2" t="s">
        <v>1097</v>
      </c>
      <c r="K928" s="2"/>
      <c r="L928" s="2" t="str">
        <f>IFERROR(VLOOKUP(IFERROR(VLOOKUP(C928,'Destination Alias'!$A:$B,2,FALSE()),C928),'Best Months'!$A:$B,2,FALSE()),"Not listed")</f>
        <v>Jan–Mar</v>
      </c>
    </row>
    <row r="929" spans="1:19" x14ac:dyDescent="0.3">
      <c r="A929" s="2" t="s">
        <v>1094</v>
      </c>
      <c r="B929" s="2" t="s">
        <v>22</v>
      </c>
      <c r="C929" s="2" t="s">
        <v>119</v>
      </c>
      <c r="D929" s="3">
        <v>9.7222222222222196E-2</v>
      </c>
      <c r="E929" s="3">
        <v>0.36805555555555602</v>
      </c>
      <c r="F929" s="2" t="s">
        <v>1095</v>
      </c>
      <c r="G929" s="2" t="s">
        <v>52</v>
      </c>
      <c r="H929" s="2">
        <v>3</v>
      </c>
      <c r="I929" s="2" t="s">
        <v>1096</v>
      </c>
      <c r="J929" s="2" t="s">
        <v>1097</v>
      </c>
      <c r="K929" s="2"/>
      <c r="L929" s="2" t="str">
        <f>IFERROR(VLOOKUP(IFERROR(VLOOKUP(C929,'Destination Alias'!$A:$B,2,FALSE()),C929),'Best Months'!$A:$B,2,FALSE()),"Not listed")</f>
        <v>Jan–Mar</v>
      </c>
    </row>
    <row r="930" spans="1:19" x14ac:dyDescent="0.3">
      <c r="A930" s="2" t="s">
        <v>1094</v>
      </c>
      <c r="B930" s="2" t="s">
        <v>22</v>
      </c>
      <c r="C930" s="2" t="s">
        <v>119</v>
      </c>
      <c r="D930" s="3">
        <v>8.3333333333333301E-2</v>
      </c>
      <c r="E930" s="3">
        <v>0.104166666666667</v>
      </c>
      <c r="F930" s="2" t="s">
        <v>1095</v>
      </c>
      <c r="G930" s="2" t="s">
        <v>52</v>
      </c>
      <c r="H930" s="2">
        <v>4.4000000000000004</v>
      </c>
      <c r="I930" s="2" t="s">
        <v>1096</v>
      </c>
      <c r="J930" s="2" t="s">
        <v>1097</v>
      </c>
      <c r="K930" s="2"/>
      <c r="L930" s="2" t="str">
        <f>IFERROR(VLOOKUP(IFERROR(VLOOKUP(C930,'Destination Alias'!$A:$B,2,FALSE()),C930),'Best Months'!$A:$B,2,FALSE()),"Not listed")</f>
        <v>Jan–Mar</v>
      </c>
    </row>
    <row r="931" spans="1:19" x14ac:dyDescent="0.3">
      <c r="A931" s="2" t="s">
        <v>1098</v>
      </c>
      <c r="B931" s="2" t="s">
        <v>22</v>
      </c>
      <c r="C931" s="2" t="s">
        <v>50</v>
      </c>
      <c r="D931" s="3">
        <v>0.27083333333333298</v>
      </c>
      <c r="E931" s="3">
        <v>0.3125</v>
      </c>
      <c r="F931" s="2" t="s">
        <v>35</v>
      </c>
      <c r="G931" s="2" t="s">
        <v>28</v>
      </c>
      <c r="H931" s="2">
        <v>4.5999999999999996</v>
      </c>
      <c r="I931" s="2" t="s">
        <v>1099</v>
      </c>
      <c r="J931" s="2" t="s">
        <v>1100</v>
      </c>
      <c r="K931" s="2"/>
      <c r="L931" s="2" t="str">
        <f>IFERROR(VLOOKUP(IFERROR(VLOOKUP(C931,'Destination Alias'!$A:$B,2,FALSE()),C931),'Best Months'!$A:$B,2,FALSE()),"Not listed")</f>
        <v>Dec–Mar</v>
      </c>
    </row>
    <row r="932" spans="1:19" x14ac:dyDescent="0.3">
      <c r="A932" s="2" t="s">
        <v>1098</v>
      </c>
      <c r="B932" s="2" t="s">
        <v>22</v>
      </c>
      <c r="C932" s="2" t="s">
        <v>50</v>
      </c>
      <c r="D932" s="3">
        <v>0.3125</v>
      </c>
      <c r="E932" s="3">
        <v>0.35416666666666702</v>
      </c>
      <c r="F932" s="2" t="s">
        <v>35</v>
      </c>
      <c r="G932" s="2" t="s">
        <v>38</v>
      </c>
      <c r="H932" s="2">
        <v>4.5999999999999996</v>
      </c>
      <c r="I932" s="2" t="s">
        <v>1099</v>
      </c>
      <c r="J932" s="2" t="s">
        <v>1100</v>
      </c>
      <c r="K932" s="2"/>
      <c r="L932" s="2" t="str">
        <f>IFERROR(VLOOKUP(IFERROR(VLOOKUP(C932,'Destination Alias'!$A:$B,2,FALSE()),C932),'Best Months'!$A:$B,2,FALSE()),"Not listed")</f>
        <v>Dec–Mar</v>
      </c>
    </row>
    <row r="933" spans="1:19" x14ac:dyDescent="0.3">
      <c r="A933" s="2" t="s">
        <v>1098</v>
      </c>
      <c r="B933" s="2" t="s">
        <v>22</v>
      </c>
      <c r="C933" s="2" t="s">
        <v>50</v>
      </c>
      <c r="D933" s="3">
        <v>0.35416666666666702</v>
      </c>
      <c r="E933" s="3">
        <v>0.39583333333333298</v>
      </c>
      <c r="F933" s="2" t="s">
        <v>35</v>
      </c>
      <c r="G933" s="2" t="s">
        <v>16</v>
      </c>
      <c r="H933" s="2">
        <v>4.5999999999999996</v>
      </c>
      <c r="I933" s="2" t="s">
        <v>1099</v>
      </c>
      <c r="J933" s="2" t="s">
        <v>1100</v>
      </c>
      <c r="K933" s="2"/>
      <c r="L933" s="2" t="str">
        <f>IFERROR(VLOOKUP(IFERROR(VLOOKUP(C933,'Destination Alias'!$A:$B,2,FALSE()),C933),'Best Months'!$A:$B,2,FALSE()),"Not listed")</f>
        <v>Dec–Mar</v>
      </c>
    </row>
    <row r="934" spans="1:19" x14ac:dyDescent="0.3">
      <c r="A934" s="2" t="s">
        <v>1101</v>
      </c>
      <c r="B934" s="2" t="s">
        <v>22</v>
      </c>
      <c r="C934" s="2" t="s">
        <v>163</v>
      </c>
      <c r="D934" s="3">
        <v>0.27083333333333298</v>
      </c>
      <c r="E934" s="3">
        <v>0.3125</v>
      </c>
      <c r="F934" s="2" t="s">
        <v>35</v>
      </c>
      <c r="G934" s="2" t="s">
        <v>28</v>
      </c>
      <c r="H934" s="2">
        <v>4.5999999999999996</v>
      </c>
      <c r="I934" s="2" t="s">
        <v>726</v>
      </c>
      <c r="J934" s="2" t="s">
        <v>1102</v>
      </c>
      <c r="K934" s="4" t="s">
        <v>1103</v>
      </c>
      <c r="L934" s="2" t="str">
        <f>IFERROR(VLOOKUP(IFERROR(VLOOKUP(C934,'Destination Alias'!$A:$B,2,FALSE()),C934),'Best Months'!$A:$B,2,FALSE()),"Not listed")</f>
        <v>Dec–Mar</v>
      </c>
      <c r="S934" t="s">
        <v>1103</v>
      </c>
    </row>
    <row r="935" spans="1:19" x14ac:dyDescent="0.3">
      <c r="A935" s="2" t="s">
        <v>1101</v>
      </c>
      <c r="B935" s="2" t="s">
        <v>22</v>
      </c>
      <c r="C935" s="2" t="s">
        <v>163</v>
      </c>
      <c r="D935" s="3">
        <v>0.3125</v>
      </c>
      <c r="E935" s="3">
        <v>0.35416666666666702</v>
      </c>
      <c r="F935" s="2" t="s">
        <v>35</v>
      </c>
      <c r="G935" s="2" t="s">
        <v>38</v>
      </c>
      <c r="H935" s="2">
        <v>4.5999999999999996</v>
      </c>
      <c r="I935" s="2" t="s">
        <v>726</v>
      </c>
      <c r="J935" s="2" t="s">
        <v>1102</v>
      </c>
      <c r="K935" s="4" t="s">
        <v>1103</v>
      </c>
      <c r="L935" s="2" t="str">
        <f>IFERROR(VLOOKUP(IFERROR(VLOOKUP(C935,'Destination Alias'!$A:$B,2,FALSE()),C935),'Best Months'!$A:$B,2,FALSE()),"Not listed")</f>
        <v>Dec–Mar</v>
      </c>
      <c r="S935" t="s">
        <v>1103</v>
      </c>
    </row>
    <row r="936" spans="1:19" x14ac:dyDescent="0.3">
      <c r="A936" s="2" t="s">
        <v>1101</v>
      </c>
      <c r="B936" s="2" t="s">
        <v>22</v>
      </c>
      <c r="C936" s="2" t="s">
        <v>163</v>
      </c>
      <c r="D936" s="3">
        <v>0.35416666666666702</v>
      </c>
      <c r="E936" s="3">
        <v>0.39583333333333298</v>
      </c>
      <c r="F936" s="2" t="s">
        <v>35</v>
      </c>
      <c r="G936" s="2" t="s">
        <v>16</v>
      </c>
      <c r="H936" s="2">
        <v>4.5999999999999996</v>
      </c>
      <c r="I936" s="2" t="s">
        <v>726</v>
      </c>
      <c r="J936" s="2" t="s">
        <v>1102</v>
      </c>
      <c r="K936" s="4" t="s">
        <v>1103</v>
      </c>
      <c r="L936" s="2" t="str">
        <f>IFERROR(VLOOKUP(IFERROR(VLOOKUP(C936,'Destination Alias'!$A:$B,2,FALSE()),C936),'Best Months'!$A:$B,2,FALSE()),"Not listed")</f>
        <v>Dec–Mar</v>
      </c>
      <c r="S936" t="s">
        <v>1103</v>
      </c>
    </row>
    <row r="937" spans="1:19" x14ac:dyDescent="0.3">
      <c r="A937" s="2" t="s">
        <v>1104</v>
      </c>
      <c r="B937" s="2" t="s">
        <v>22</v>
      </c>
      <c r="C937" s="2" t="s">
        <v>137</v>
      </c>
      <c r="D937" s="3">
        <v>0.72916666666666696</v>
      </c>
      <c r="E937" s="3">
        <v>0.77083333333333304</v>
      </c>
      <c r="F937" s="2" t="s">
        <v>35</v>
      </c>
      <c r="G937" s="2" t="s">
        <v>52</v>
      </c>
      <c r="H937" s="2">
        <v>4.5999999999999996</v>
      </c>
      <c r="I937" s="2" t="s">
        <v>1105</v>
      </c>
      <c r="J937" s="2" t="s">
        <v>1106</v>
      </c>
      <c r="K937" s="4" t="s">
        <v>1107</v>
      </c>
      <c r="L937" s="2" t="str">
        <f>IFERROR(VLOOKUP(IFERROR(VLOOKUP(C937,'Destination Alias'!$A:$B,2,FALSE()),C937),'Best Months'!$A:$B,2,FALSE()),"Not listed")</f>
        <v>Jan–Mar</v>
      </c>
      <c r="S937" t="s">
        <v>1107</v>
      </c>
    </row>
    <row r="938" spans="1:19" x14ac:dyDescent="0.3">
      <c r="A938" s="2" t="s">
        <v>1104</v>
      </c>
      <c r="B938" s="2" t="s">
        <v>22</v>
      </c>
      <c r="C938" s="2" t="s">
        <v>137</v>
      </c>
      <c r="D938" s="3">
        <v>0.77083333333333304</v>
      </c>
      <c r="E938" s="3">
        <v>0.8125</v>
      </c>
      <c r="F938" s="2" t="s">
        <v>35</v>
      </c>
      <c r="G938" s="2" t="s">
        <v>102</v>
      </c>
      <c r="H938" s="2">
        <v>4.5999999999999996</v>
      </c>
      <c r="I938" s="2" t="s">
        <v>1105</v>
      </c>
      <c r="J938" s="2" t="s">
        <v>1106</v>
      </c>
      <c r="K938" s="4" t="s">
        <v>1107</v>
      </c>
      <c r="L938" s="2" t="str">
        <f>IFERROR(VLOOKUP(IFERROR(VLOOKUP(C938,'Destination Alias'!$A:$B,2,FALSE()),C938),'Best Months'!$A:$B,2,FALSE()),"Not listed")</f>
        <v>Jan–Mar</v>
      </c>
      <c r="S938" t="s">
        <v>1107</v>
      </c>
    </row>
    <row r="939" spans="1:19" x14ac:dyDescent="0.3">
      <c r="A939" s="2" t="s">
        <v>1108</v>
      </c>
      <c r="B939" s="2" t="s">
        <v>22</v>
      </c>
      <c r="C939" s="2" t="s">
        <v>108</v>
      </c>
      <c r="D939" s="3">
        <v>0.72916666666666696</v>
      </c>
      <c r="E939" s="3">
        <v>0.77083333333333304</v>
      </c>
      <c r="F939" s="2" t="s">
        <v>35</v>
      </c>
      <c r="G939" s="2" t="s">
        <v>52</v>
      </c>
      <c r="H939" s="2">
        <v>4.5999999999999996</v>
      </c>
      <c r="I939" s="2" t="s">
        <v>1109</v>
      </c>
      <c r="J939" s="2" t="s">
        <v>1110</v>
      </c>
      <c r="K939" s="4" t="s">
        <v>1111</v>
      </c>
      <c r="L939" s="2" t="str">
        <f>IFERROR(VLOOKUP(IFERROR(VLOOKUP(C939,'Destination Alias'!$A:$B,2,FALSE()),C939),'Best Months'!$A:$B,2,FALSE()),"Not listed")</f>
        <v>Jan–Mar, Jul–Aug</v>
      </c>
      <c r="S939" t="s">
        <v>1111</v>
      </c>
    </row>
    <row r="940" spans="1:19" x14ac:dyDescent="0.3">
      <c r="A940" s="2" t="s">
        <v>1108</v>
      </c>
      <c r="B940" s="2" t="s">
        <v>22</v>
      </c>
      <c r="C940" s="2" t="s">
        <v>108</v>
      </c>
      <c r="D940" s="3">
        <v>0.77083333333333304</v>
      </c>
      <c r="E940" s="3">
        <v>0.8125</v>
      </c>
      <c r="F940" s="2" t="s">
        <v>35</v>
      </c>
      <c r="G940" s="2" t="s">
        <v>102</v>
      </c>
      <c r="H940" s="2">
        <v>4.5999999999999996</v>
      </c>
      <c r="I940" s="2" t="s">
        <v>1109</v>
      </c>
      <c r="J940" s="2" t="s">
        <v>1110</v>
      </c>
      <c r="K940" s="4" t="s">
        <v>1111</v>
      </c>
      <c r="L940" s="2" t="str">
        <f>IFERROR(VLOOKUP(IFERROR(VLOOKUP(C940,'Destination Alias'!$A:$B,2,FALSE()),C940),'Best Months'!$A:$B,2,FALSE()),"Not listed")</f>
        <v>Jan–Mar, Jul–Aug</v>
      </c>
      <c r="S940" t="s">
        <v>1111</v>
      </c>
    </row>
    <row r="941" spans="1:19" x14ac:dyDescent="0.3">
      <c r="A941" s="2" t="s">
        <v>1112</v>
      </c>
      <c r="B941" s="2" t="s">
        <v>22</v>
      </c>
      <c r="C941" s="2" t="s">
        <v>50</v>
      </c>
      <c r="D941" s="3">
        <v>0.25</v>
      </c>
      <c r="E941" s="3">
        <v>0.28125</v>
      </c>
      <c r="F941" s="2" t="s">
        <v>90</v>
      </c>
      <c r="G941" s="2" t="s">
        <v>28</v>
      </c>
      <c r="H941" s="2">
        <v>4.5999999999999996</v>
      </c>
      <c r="I941" s="2" t="s">
        <v>1113</v>
      </c>
      <c r="J941" s="2" t="s">
        <v>1114</v>
      </c>
      <c r="K941" s="4" t="s">
        <v>1115</v>
      </c>
      <c r="L941" s="2" t="str">
        <f>IFERROR(VLOOKUP(IFERROR(VLOOKUP(C941,'Destination Alias'!$A:$B,2,FALSE()),C941),'Best Months'!$A:$B,2,FALSE()),"Not listed")</f>
        <v>Dec–Mar</v>
      </c>
      <c r="S941" t="s">
        <v>1115</v>
      </c>
    </row>
    <row r="942" spans="1:19" x14ac:dyDescent="0.3">
      <c r="A942" s="2" t="s">
        <v>1112</v>
      </c>
      <c r="B942" s="2" t="s">
        <v>22</v>
      </c>
      <c r="C942" s="2" t="s">
        <v>50</v>
      </c>
      <c r="D942" s="3">
        <v>0.28125</v>
      </c>
      <c r="E942" s="3">
        <v>0.3125</v>
      </c>
      <c r="F942" s="2" t="s">
        <v>90</v>
      </c>
      <c r="G942" s="2" t="s">
        <v>28</v>
      </c>
      <c r="H942" s="2">
        <v>4.5999999999999996</v>
      </c>
      <c r="I942" s="2" t="s">
        <v>1113</v>
      </c>
      <c r="J942" s="2" t="s">
        <v>1114</v>
      </c>
      <c r="K942" s="4" t="s">
        <v>1115</v>
      </c>
      <c r="L942" s="2" t="str">
        <f>IFERROR(VLOOKUP(IFERROR(VLOOKUP(C942,'Destination Alias'!$A:$B,2,FALSE()),C942),'Best Months'!$A:$B,2,FALSE()),"Not listed")</f>
        <v>Dec–Mar</v>
      </c>
      <c r="S942" t="s">
        <v>1115</v>
      </c>
    </row>
    <row r="943" spans="1:19" x14ac:dyDescent="0.3">
      <c r="A943" s="2" t="s">
        <v>1112</v>
      </c>
      <c r="B943" s="2" t="s">
        <v>22</v>
      </c>
      <c r="C943" s="2" t="s">
        <v>50</v>
      </c>
      <c r="D943" s="3">
        <v>0.3125</v>
      </c>
      <c r="E943" s="3">
        <v>0.34375</v>
      </c>
      <c r="F943" s="2" t="s">
        <v>90</v>
      </c>
      <c r="G943" s="2" t="s">
        <v>38</v>
      </c>
      <c r="H943" s="2">
        <v>4.5999999999999996</v>
      </c>
      <c r="I943" s="2" t="s">
        <v>1113</v>
      </c>
      <c r="J943" s="2" t="s">
        <v>1114</v>
      </c>
      <c r="K943" s="4" t="s">
        <v>1115</v>
      </c>
      <c r="L943" s="2" t="str">
        <f>IFERROR(VLOOKUP(IFERROR(VLOOKUP(C943,'Destination Alias'!$A:$B,2,FALSE()),C943),'Best Months'!$A:$B,2,FALSE()),"Not listed")</f>
        <v>Dec–Mar</v>
      </c>
      <c r="S943" t="s">
        <v>1115</v>
      </c>
    </row>
    <row r="944" spans="1:19" x14ac:dyDescent="0.3">
      <c r="A944" s="2" t="s">
        <v>1112</v>
      </c>
      <c r="B944" s="2" t="s">
        <v>22</v>
      </c>
      <c r="C944" s="2" t="s">
        <v>50</v>
      </c>
      <c r="D944" s="3">
        <v>0.34375</v>
      </c>
      <c r="E944" s="3">
        <v>0.375</v>
      </c>
      <c r="F944" s="2" t="s">
        <v>90</v>
      </c>
      <c r="G944" s="2" t="s">
        <v>16</v>
      </c>
      <c r="H944" s="2">
        <v>4.5999999999999996</v>
      </c>
      <c r="I944" s="2" t="s">
        <v>1113</v>
      </c>
      <c r="J944" s="2" t="s">
        <v>1114</v>
      </c>
      <c r="K944" s="4" t="s">
        <v>1115</v>
      </c>
      <c r="L944" s="2" t="str">
        <f>IFERROR(VLOOKUP(IFERROR(VLOOKUP(C944,'Destination Alias'!$A:$B,2,FALSE()),C944),'Best Months'!$A:$B,2,FALSE()),"Not listed")</f>
        <v>Dec–Mar</v>
      </c>
      <c r="S944" t="s">
        <v>1115</v>
      </c>
    </row>
    <row r="945" spans="1:19" x14ac:dyDescent="0.3">
      <c r="A945" s="2" t="s">
        <v>1116</v>
      </c>
      <c r="B945" s="2" t="s">
        <v>13</v>
      </c>
      <c r="C945" s="2" t="s">
        <v>297</v>
      </c>
      <c r="D945" s="3">
        <v>0.25</v>
      </c>
      <c r="E945" s="3">
        <v>0.28125</v>
      </c>
      <c r="F945" s="2" t="s">
        <v>90</v>
      </c>
      <c r="G945" s="2" t="s">
        <v>28</v>
      </c>
      <c r="H945" s="2">
        <v>4</v>
      </c>
      <c r="I945" s="2" t="s">
        <v>1117</v>
      </c>
      <c r="J945" s="2" t="s">
        <v>1118</v>
      </c>
      <c r="K945" s="2"/>
      <c r="L945" s="2" t="str">
        <f>IFERROR(VLOOKUP(IFERROR(VLOOKUP(C945,'Destination Alias'!$A:$B,2,FALSE()),C945),'Best Months'!$A:$B,2,FALSE()),"Not listed")</f>
        <v>Jan–Mar, Jul–Aug</v>
      </c>
    </row>
    <row r="946" spans="1:19" x14ac:dyDescent="0.3">
      <c r="A946" s="2" t="s">
        <v>1116</v>
      </c>
      <c r="B946" s="2" t="s">
        <v>13</v>
      </c>
      <c r="C946" s="2" t="s">
        <v>297</v>
      </c>
      <c r="D946" s="3">
        <v>0.27083333333333298</v>
      </c>
      <c r="E946" s="3">
        <v>0.30208333333333298</v>
      </c>
      <c r="F946" s="2" t="s">
        <v>90</v>
      </c>
      <c r="G946" s="2" t="s">
        <v>28</v>
      </c>
      <c r="H946" s="2">
        <v>4</v>
      </c>
      <c r="I946" s="2" t="s">
        <v>1117</v>
      </c>
      <c r="J946" s="2" t="s">
        <v>1118</v>
      </c>
      <c r="K946" s="2"/>
      <c r="L946" s="2" t="str">
        <f>IFERROR(VLOOKUP(IFERROR(VLOOKUP(C946,'Destination Alias'!$A:$B,2,FALSE()),C946),'Best Months'!$A:$B,2,FALSE()),"Not listed")</f>
        <v>Jan–Mar, Jul–Aug</v>
      </c>
    </row>
    <row r="947" spans="1:19" x14ac:dyDescent="0.3">
      <c r="A947" s="2" t="s">
        <v>1116</v>
      </c>
      <c r="B947" s="2" t="s">
        <v>13</v>
      </c>
      <c r="C947" s="2" t="s">
        <v>297</v>
      </c>
      <c r="D947" s="3">
        <v>0.27083333333333298</v>
      </c>
      <c r="E947" s="3">
        <v>0.30208333333333298</v>
      </c>
      <c r="F947" s="2" t="s">
        <v>90</v>
      </c>
      <c r="G947" s="2" t="s">
        <v>28</v>
      </c>
      <c r="H947" s="2">
        <v>5</v>
      </c>
      <c r="I947" s="2" t="s">
        <v>1117</v>
      </c>
      <c r="J947" s="2" t="s">
        <v>1118</v>
      </c>
      <c r="K947" s="2"/>
      <c r="L947" s="2" t="str">
        <f>IFERROR(VLOOKUP(IFERROR(VLOOKUP(C947,'Destination Alias'!$A:$B,2,FALSE()),C947),'Best Months'!$A:$B,2,FALSE()),"Not listed")</f>
        <v>Jan–Mar, Jul–Aug</v>
      </c>
    </row>
    <row r="948" spans="1:19" x14ac:dyDescent="0.3">
      <c r="A948" s="2" t="s">
        <v>1116</v>
      </c>
      <c r="B948" s="2" t="s">
        <v>13</v>
      </c>
      <c r="C948" s="2" t="s">
        <v>297</v>
      </c>
      <c r="D948" s="3">
        <v>0.3125</v>
      </c>
      <c r="E948" s="3">
        <v>0.34375</v>
      </c>
      <c r="F948" s="2" t="s">
        <v>90</v>
      </c>
      <c r="G948" s="2" t="s">
        <v>38</v>
      </c>
      <c r="H948" s="2">
        <v>3.9</v>
      </c>
      <c r="I948" s="2" t="s">
        <v>1117</v>
      </c>
      <c r="J948" s="2" t="s">
        <v>1118</v>
      </c>
      <c r="K948" s="2"/>
      <c r="L948" s="2" t="str">
        <f>IFERROR(VLOOKUP(IFERROR(VLOOKUP(C948,'Destination Alias'!$A:$B,2,FALSE()),C948),'Best Months'!$A:$B,2,FALSE()),"Not listed")</f>
        <v>Jan–Mar, Jul–Aug</v>
      </c>
    </row>
    <row r="949" spans="1:19" x14ac:dyDescent="0.3">
      <c r="A949" s="2" t="s">
        <v>1116</v>
      </c>
      <c r="B949" s="2" t="s">
        <v>13</v>
      </c>
      <c r="C949" s="2" t="s">
        <v>297</v>
      </c>
      <c r="D949" s="3">
        <v>0.34375</v>
      </c>
      <c r="E949" s="3">
        <v>0.375</v>
      </c>
      <c r="F949" s="2" t="s">
        <v>90</v>
      </c>
      <c r="G949" s="2" t="s">
        <v>16</v>
      </c>
      <c r="H949" s="2">
        <v>3.9</v>
      </c>
      <c r="I949" s="2" t="s">
        <v>1117</v>
      </c>
      <c r="J949" s="2" t="s">
        <v>1118</v>
      </c>
      <c r="K949" s="2"/>
      <c r="L949" s="2" t="str">
        <f>IFERROR(VLOOKUP(IFERROR(VLOOKUP(C949,'Destination Alias'!$A:$B,2,FALSE()),C949),'Best Months'!$A:$B,2,FALSE()),"Not listed")</f>
        <v>Jan–Mar, Jul–Aug</v>
      </c>
    </row>
    <row r="950" spans="1:19" x14ac:dyDescent="0.3">
      <c r="A950" s="2" t="s">
        <v>1116</v>
      </c>
      <c r="B950" s="2" t="s">
        <v>13</v>
      </c>
      <c r="C950" s="2" t="s">
        <v>297</v>
      </c>
      <c r="D950" s="3">
        <v>0.375</v>
      </c>
      <c r="E950" s="3">
        <v>0.40625</v>
      </c>
      <c r="F950" s="2" t="s">
        <v>90</v>
      </c>
      <c r="G950" s="2" t="s">
        <v>20</v>
      </c>
      <c r="H950" s="2">
        <v>3.9</v>
      </c>
      <c r="I950" s="2" t="s">
        <v>1117</v>
      </c>
      <c r="J950" s="2" t="s">
        <v>1118</v>
      </c>
      <c r="K950" s="2"/>
      <c r="L950" s="2" t="str">
        <f>IFERROR(VLOOKUP(IFERROR(VLOOKUP(C950,'Destination Alias'!$A:$B,2,FALSE()),C950),'Best Months'!$A:$B,2,FALSE()),"Not listed")</f>
        <v>Jan–Mar, Jul–Aug</v>
      </c>
    </row>
    <row r="951" spans="1:19" x14ac:dyDescent="0.3">
      <c r="A951" s="2" t="s">
        <v>1116</v>
      </c>
      <c r="B951" s="2" t="s">
        <v>13</v>
      </c>
      <c r="C951" s="2" t="s">
        <v>297</v>
      </c>
      <c r="D951" s="3">
        <v>0.40625</v>
      </c>
      <c r="E951" s="3">
        <v>0.4375</v>
      </c>
      <c r="F951" s="2" t="s">
        <v>90</v>
      </c>
      <c r="G951" s="2" t="s">
        <v>20</v>
      </c>
      <c r="H951" s="2">
        <v>3.9</v>
      </c>
      <c r="I951" s="2" t="s">
        <v>1117</v>
      </c>
      <c r="J951" s="2" t="s">
        <v>1118</v>
      </c>
      <c r="K951" s="2"/>
      <c r="L951" s="2" t="str">
        <f>IFERROR(VLOOKUP(IFERROR(VLOOKUP(C951,'Destination Alias'!$A:$B,2,FALSE()),C951),'Best Months'!$A:$B,2,FALSE()),"Not listed")</f>
        <v>Jan–Mar, Jul–Aug</v>
      </c>
    </row>
    <row r="952" spans="1:19" x14ac:dyDescent="0.3">
      <c r="A952" s="2" t="s">
        <v>1119</v>
      </c>
      <c r="B952" s="2" t="s">
        <v>22</v>
      </c>
      <c r="C952" s="2" t="s">
        <v>50</v>
      </c>
      <c r="D952" s="3">
        <v>0.33333333333333298</v>
      </c>
      <c r="E952" s="3">
        <v>0.36458333333333298</v>
      </c>
      <c r="F952" s="2" t="s">
        <v>90</v>
      </c>
      <c r="G952" s="2" t="s">
        <v>16</v>
      </c>
      <c r="H952" s="2">
        <v>4.5999999999999996</v>
      </c>
      <c r="I952" s="2" t="s">
        <v>1120</v>
      </c>
      <c r="J952" s="2" t="s">
        <v>1121</v>
      </c>
      <c r="K952" s="4" t="s">
        <v>1122</v>
      </c>
      <c r="L952" s="2" t="str">
        <f>IFERROR(VLOOKUP(IFERROR(VLOOKUP(C952,'Destination Alias'!$A:$B,2,FALSE()),C952),'Best Months'!$A:$B,2,FALSE()),"Not listed")</f>
        <v>Dec–Mar</v>
      </c>
      <c r="S952" t="s">
        <v>1122</v>
      </c>
    </row>
    <row r="953" spans="1:19" x14ac:dyDescent="0.3">
      <c r="A953" s="2" t="s">
        <v>1119</v>
      </c>
      <c r="B953" s="2" t="s">
        <v>22</v>
      </c>
      <c r="C953" s="2" t="s">
        <v>50</v>
      </c>
      <c r="D953" s="3">
        <v>0.36458333333333298</v>
      </c>
      <c r="E953" s="3">
        <v>0.39583333333333298</v>
      </c>
      <c r="F953" s="2" t="s">
        <v>90</v>
      </c>
      <c r="G953" s="2" t="s">
        <v>16</v>
      </c>
      <c r="H953" s="2">
        <v>4.5999999999999996</v>
      </c>
      <c r="I953" s="2" t="s">
        <v>1120</v>
      </c>
      <c r="J953" s="2" t="s">
        <v>1121</v>
      </c>
      <c r="K953" s="4" t="s">
        <v>1122</v>
      </c>
      <c r="L953" s="2" t="str">
        <f>IFERROR(VLOOKUP(IFERROR(VLOOKUP(C953,'Destination Alias'!$A:$B,2,FALSE()),C953),'Best Months'!$A:$B,2,FALSE()),"Not listed")</f>
        <v>Dec–Mar</v>
      </c>
      <c r="S953" t="s">
        <v>1122</v>
      </c>
    </row>
    <row r="954" spans="1:19" x14ac:dyDescent="0.3">
      <c r="A954" s="2" t="s">
        <v>1119</v>
      </c>
      <c r="B954" s="2" t="s">
        <v>22</v>
      </c>
      <c r="C954" s="2" t="s">
        <v>50</v>
      </c>
      <c r="D954" s="3">
        <v>0.39583333333333298</v>
      </c>
      <c r="E954" s="3">
        <v>0.42708333333333298</v>
      </c>
      <c r="F954" s="2" t="s">
        <v>90</v>
      </c>
      <c r="G954" s="2" t="s">
        <v>20</v>
      </c>
      <c r="H954" s="2">
        <v>4.5999999999999996</v>
      </c>
      <c r="I954" s="2" t="s">
        <v>1120</v>
      </c>
      <c r="J954" s="2" t="s">
        <v>1121</v>
      </c>
      <c r="K954" s="4" t="s">
        <v>1122</v>
      </c>
      <c r="L954" s="2" t="str">
        <f>IFERROR(VLOOKUP(IFERROR(VLOOKUP(C954,'Destination Alias'!$A:$B,2,FALSE()),C954),'Best Months'!$A:$B,2,FALSE()),"Not listed")</f>
        <v>Dec–Mar</v>
      </c>
      <c r="S954" t="s">
        <v>1122</v>
      </c>
    </row>
    <row r="955" spans="1:19" x14ac:dyDescent="0.3">
      <c r="A955" s="2" t="s">
        <v>1119</v>
      </c>
      <c r="B955" s="2" t="s">
        <v>22</v>
      </c>
      <c r="C955" s="2" t="s">
        <v>50</v>
      </c>
      <c r="D955" s="3">
        <v>0.42708333333333298</v>
      </c>
      <c r="E955" s="3">
        <v>0.45833333333333298</v>
      </c>
      <c r="F955" s="2" t="s">
        <v>90</v>
      </c>
      <c r="G955" s="2" t="s">
        <v>20</v>
      </c>
      <c r="H955" s="2">
        <v>4.5999999999999996</v>
      </c>
      <c r="I955" s="2" t="s">
        <v>1120</v>
      </c>
      <c r="J955" s="2" t="s">
        <v>1121</v>
      </c>
      <c r="K955" s="4" t="s">
        <v>1122</v>
      </c>
      <c r="L955" s="2" t="str">
        <f>IFERROR(VLOOKUP(IFERROR(VLOOKUP(C955,'Destination Alias'!$A:$B,2,FALSE()),C955),'Best Months'!$A:$B,2,FALSE()),"Not listed")</f>
        <v>Dec–Mar</v>
      </c>
      <c r="S955" t="s">
        <v>1122</v>
      </c>
    </row>
    <row r="956" spans="1:19" x14ac:dyDescent="0.3">
      <c r="A956" s="2" t="s">
        <v>1123</v>
      </c>
      <c r="B956" s="2" t="s">
        <v>22</v>
      </c>
      <c r="C956" s="2" t="s">
        <v>163</v>
      </c>
      <c r="D956" s="3">
        <v>0.33333333333333298</v>
      </c>
      <c r="E956" s="3">
        <v>0.36458333333333298</v>
      </c>
      <c r="F956" s="2" t="s">
        <v>90</v>
      </c>
      <c r="G956" s="2" t="s">
        <v>16</v>
      </c>
      <c r="H956" s="2">
        <v>4.5999999999999996</v>
      </c>
      <c r="I956" s="2" t="s">
        <v>1124</v>
      </c>
      <c r="J956" s="2" t="s">
        <v>1125</v>
      </c>
      <c r="K956" s="4" t="s">
        <v>1126</v>
      </c>
      <c r="L956" s="2" t="str">
        <f>IFERROR(VLOOKUP(IFERROR(VLOOKUP(C956,'Destination Alias'!$A:$B,2,FALSE()),C956),'Best Months'!$A:$B,2,FALSE()),"Not listed")</f>
        <v>Dec–Mar</v>
      </c>
      <c r="S956" t="s">
        <v>1126</v>
      </c>
    </row>
    <row r="957" spans="1:19" x14ac:dyDescent="0.3">
      <c r="A957" s="2" t="s">
        <v>1123</v>
      </c>
      <c r="B957" s="2" t="s">
        <v>22</v>
      </c>
      <c r="C957" s="2" t="s">
        <v>163</v>
      </c>
      <c r="D957" s="3">
        <v>0.36458333333333298</v>
      </c>
      <c r="E957" s="3">
        <v>0.39583333333333298</v>
      </c>
      <c r="F957" s="2" t="s">
        <v>90</v>
      </c>
      <c r="G957" s="2" t="s">
        <v>16</v>
      </c>
      <c r="H957" s="2">
        <v>4.5999999999999996</v>
      </c>
      <c r="I957" s="2" t="s">
        <v>1124</v>
      </c>
      <c r="J957" s="2" t="s">
        <v>1125</v>
      </c>
      <c r="K957" s="4" t="s">
        <v>1126</v>
      </c>
      <c r="L957" s="2" t="str">
        <f>IFERROR(VLOOKUP(IFERROR(VLOOKUP(C957,'Destination Alias'!$A:$B,2,FALSE()),C957),'Best Months'!$A:$B,2,FALSE()),"Not listed")</f>
        <v>Dec–Mar</v>
      </c>
      <c r="S957" t="s">
        <v>1126</v>
      </c>
    </row>
    <row r="958" spans="1:19" x14ac:dyDescent="0.3">
      <c r="A958" s="2" t="s">
        <v>1123</v>
      </c>
      <c r="B958" s="2" t="s">
        <v>22</v>
      </c>
      <c r="C958" s="2" t="s">
        <v>163</v>
      </c>
      <c r="D958" s="3">
        <v>0.39583333333333298</v>
      </c>
      <c r="E958" s="3">
        <v>0.42708333333333298</v>
      </c>
      <c r="F958" s="2" t="s">
        <v>90</v>
      </c>
      <c r="G958" s="2" t="s">
        <v>20</v>
      </c>
      <c r="H958" s="2">
        <v>4.5999999999999996</v>
      </c>
      <c r="I958" s="2" t="s">
        <v>1124</v>
      </c>
      <c r="J958" s="2" t="s">
        <v>1125</v>
      </c>
      <c r="K958" s="4" t="s">
        <v>1126</v>
      </c>
      <c r="L958" s="2" t="str">
        <f>IFERROR(VLOOKUP(IFERROR(VLOOKUP(C958,'Destination Alias'!$A:$B,2,FALSE()),C958),'Best Months'!$A:$B,2,FALSE()),"Not listed")</f>
        <v>Dec–Mar</v>
      </c>
      <c r="S958" t="s">
        <v>1126</v>
      </c>
    </row>
    <row r="959" spans="1:19" x14ac:dyDescent="0.3">
      <c r="A959" s="2" t="s">
        <v>1123</v>
      </c>
      <c r="B959" s="2" t="s">
        <v>22</v>
      </c>
      <c r="C959" s="2" t="s">
        <v>163</v>
      </c>
      <c r="D959" s="3">
        <v>0.42708333333333298</v>
      </c>
      <c r="E959" s="3">
        <v>0.45833333333333298</v>
      </c>
      <c r="F959" s="2" t="s">
        <v>90</v>
      </c>
      <c r="G959" s="2" t="s">
        <v>20</v>
      </c>
      <c r="H959" s="2">
        <v>4.5999999999999996</v>
      </c>
      <c r="I959" s="2" t="s">
        <v>1124</v>
      </c>
      <c r="J959" s="2" t="s">
        <v>1125</v>
      </c>
      <c r="K959" s="4" t="s">
        <v>1126</v>
      </c>
      <c r="L959" s="2" t="str">
        <f>IFERROR(VLOOKUP(IFERROR(VLOOKUP(C959,'Destination Alias'!$A:$B,2,FALSE()),C959),'Best Months'!$A:$B,2,FALSE()),"Not listed")</f>
        <v>Dec–Mar</v>
      </c>
      <c r="S959" t="s">
        <v>1126</v>
      </c>
    </row>
    <row r="960" spans="1:19" x14ac:dyDescent="0.3">
      <c r="A960" s="2" t="s">
        <v>1127</v>
      </c>
      <c r="B960" s="2" t="s">
        <v>22</v>
      </c>
      <c r="C960" s="2" t="s">
        <v>65</v>
      </c>
      <c r="D960" s="3">
        <v>0.375</v>
      </c>
      <c r="E960" s="3">
        <v>0.40625</v>
      </c>
      <c r="F960" s="2" t="s">
        <v>90</v>
      </c>
      <c r="G960" s="2" t="s">
        <v>20</v>
      </c>
      <c r="H960" s="2">
        <v>4.5999999999999996</v>
      </c>
      <c r="I960" s="2" t="s">
        <v>1128</v>
      </c>
      <c r="J960" s="2" t="s">
        <v>1129</v>
      </c>
      <c r="K960" s="2" t="s">
        <v>1130</v>
      </c>
      <c r="L960" s="2" t="str">
        <f>IFERROR(VLOOKUP(IFERROR(VLOOKUP(C960,'Destination Alias'!$A:$B,2,FALSE()),C960),'Best Months'!$A:$B,2,FALSE()),"Not listed")</f>
        <v>Dec–Mar</v>
      </c>
    </row>
    <row r="961" spans="1:19" x14ac:dyDescent="0.3">
      <c r="A961" s="2" t="s">
        <v>1127</v>
      </c>
      <c r="B961" s="2" t="s">
        <v>22</v>
      </c>
      <c r="C961" s="2" t="s">
        <v>65</v>
      </c>
      <c r="D961" s="3">
        <v>0.40625</v>
      </c>
      <c r="E961" s="3">
        <v>0.4375</v>
      </c>
      <c r="F961" s="2" t="s">
        <v>90</v>
      </c>
      <c r="G961" s="2" t="s">
        <v>20</v>
      </c>
      <c r="H961" s="2">
        <v>4.5999999999999996</v>
      </c>
      <c r="I961" s="2" t="s">
        <v>1128</v>
      </c>
      <c r="J961" s="2" t="s">
        <v>1129</v>
      </c>
      <c r="K961" s="2" t="s">
        <v>1130</v>
      </c>
      <c r="L961" s="2" t="str">
        <f>IFERROR(VLOOKUP(IFERROR(VLOOKUP(C961,'Destination Alias'!$A:$B,2,FALSE()),C961),'Best Months'!$A:$B,2,FALSE()),"Not listed")</f>
        <v>Dec–Mar</v>
      </c>
    </row>
    <row r="962" spans="1:19" x14ac:dyDescent="0.3">
      <c r="A962" s="2" t="s">
        <v>1127</v>
      </c>
      <c r="B962" s="2" t="s">
        <v>22</v>
      </c>
      <c r="C962" s="2" t="s">
        <v>65</v>
      </c>
      <c r="D962" s="3">
        <v>0.4375</v>
      </c>
      <c r="E962" s="3">
        <v>0.46875</v>
      </c>
      <c r="F962" s="2" t="s">
        <v>90</v>
      </c>
      <c r="G962" s="2" t="s">
        <v>20</v>
      </c>
      <c r="H962" s="2">
        <v>4.5999999999999996</v>
      </c>
      <c r="I962" s="2" t="s">
        <v>1128</v>
      </c>
      <c r="J962" s="2" t="s">
        <v>1129</v>
      </c>
      <c r="K962" s="2" t="s">
        <v>1130</v>
      </c>
      <c r="L962" s="2" t="str">
        <f>IFERROR(VLOOKUP(IFERROR(VLOOKUP(C962,'Destination Alias'!$A:$B,2,FALSE()),C962),'Best Months'!$A:$B,2,FALSE()),"Not listed")</f>
        <v>Dec–Mar</v>
      </c>
    </row>
    <row r="963" spans="1:19" x14ac:dyDescent="0.3">
      <c r="A963" s="2" t="s">
        <v>1127</v>
      </c>
      <c r="B963" s="2" t="s">
        <v>22</v>
      </c>
      <c r="C963" s="2" t="s">
        <v>65</v>
      </c>
      <c r="D963" s="3">
        <v>0.46875</v>
      </c>
      <c r="E963" s="3">
        <v>0.5</v>
      </c>
      <c r="F963" s="2" t="s">
        <v>90</v>
      </c>
      <c r="G963" s="2" t="s">
        <v>220</v>
      </c>
      <c r="H963" s="2">
        <v>4.5999999999999996</v>
      </c>
      <c r="I963" s="2" t="s">
        <v>1128</v>
      </c>
      <c r="J963" s="2" t="s">
        <v>1129</v>
      </c>
      <c r="K963" s="2" t="s">
        <v>1130</v>
      </c>
      <c r="L963" s="2" t="str">
        <f>IFERROR(VLOOKUP(IFERROR(VLOOKUP(C963,'Destination Alias'!$A:$B,2,FALSE()),C963),'Best Months'!$A:$B,2,FALSE()),"Not listed")</f>
        <v>Dec–Mar</v>
      </c>
    </row>
    <row r="964" spans="1:19" x14ac:dyDescent="0.3">
      <c r="A964" s="2" t="s">
        <v>1131</v>
      </c>
      <c r="B964" s="2" t="s">
        <v>22</v>
      </c>
      <c r="C964" s="2" t="s">
        <v>213</v>
      </c>
      <c r="D964" s="3">
        <v>0.27083333333333298</v>
      </c>
      <c r="E964" s="3">
        <v>0.3125</v>
      </c>
      <c r="F964" s="2" t="s">
        <v>35</v>
      </c>
      <c r="G964" s="2" t="s">
        <v>28</v>
      </c>
      <c r="H964" s="2">
        <v>4.5</v>
      </c>
      <c r="I964" s="2" t="s">
        <v>726</v>
      </c>
      <c r="J964" s="2" t="s">
        <v>1132</v>
      </c>
      <c r="K964" s="4" t="s">
        <v>1133</v>
      </c>
      <c r="L964" s="2" t="str">
        <f>IFERROR(VLOOKUP(IFERROR(VLOOKUP(C964,'Destination Alias'!$A:$B,2,FALSE()),C964),'Best Months'!$A:$B,2,FALSE()),"Not listed")</f>
        <v>Jan–Mar</v>
      </c>
      <c r="S964" t="s">
        <v>1133</v>
      </c>
    </row>
    <row r="965" spans="1:19" x14ac:dyDescent="0.3">
      <c r="A965" s="2" t="s">
        <v>1131</v>
      </c>
      <c r="B965" s="2" t="s">
        <v>22</v>
      </c>
      <c r="C965" s="2" t="s">
        <v>213</v>
      </c>
      <c r="D965" s="3">
        <v>0.3125</v>
      </c>
      <c r="E965" s="3">
        <v>0.35416666666666702</v>
      </c>
      <c r="F965" s="2" t="s">
        <v>35</v>
      </c>
      <c r="G965" s="2" t="s">
        <v>38</v>
      </c>
      <c r="H965" s="2">
        <v>4.5</v>
      </c>
      <c r="I965" s="2" t="s">
        <v>726</v>
      </c>
      <c r="J965" s="2" t="s">
        <v>1132</v>
      </c>
      <c r="K965" s="4" t="s">
        <v>1133</v>
      </c>
      <c r="L965" s="2" t="str">
        <f>IFERROR(VLOOKUP(IFERROR(VLOOKUP(C965,'Destination Alias'!$A:$B,2,FALSE()),C965),'Best Months'!$A:$B,2,FALSE()),"Not listed")</f>
        <v>Jan–Mar</v>
      </c>
      <c r="S965" t="s">
        <v>1133</v>
      </c>
    </row>
    <row r="966" spans="1:19" x14ac:dyDescent="0.3">
      <c r="A966" s="2" t="s">
        <v>1131</v>
      </c>
      <c r="B966" s="2" t="s">
        <v>22</v>
      </c>
      <c r="C966" s="2" t="s">
        <v>213</v>
      </c>
      <c r="D966" s="3">
        <v>0.35416666666666702</v>
      </c>
      <c r="E966" s="3">
        <v>0.39583333333333298</v>
      </c>
      <c r="F966" s="2" t="s">
        <v>35</v>
      </c>
      <c r="G966" s="2" t="s">
        <v>16</v>
      </c>
      <c r="H966" s="2">
        <v>4.5</v>
      </c>
      <c r="I966" s="2" t="s">
        <v>726</v>
      </c>
      <c r="J966" s="2" t="s">
        <v>1132</v>
      </c>
      <c r="K966" s="4" t="s">
        <v>1133</v>
      </c>
      <c r="L966" s="2" t="str">
        <f>IFERROR(VLOOKUP(IFERROR(VLOOKUP(C966,'Destination Alias'!$A:$B,2,FALSE()),C966),'Best Months'!$A:$B,2,FALSE()),"Not listed")</f>
        <v>Jan–Mar</v>
      </c>
      <c r="S966" t="s">
        <v>1133</v>
      </c>
    </row>
    <row r="967" spans="1:19" x14ac:dyDescent="0.3">
      <c r="A967" s="2" t="s">
        <v>1134</v>
      </c>
      <c r="B967" s="2" t="s">
        <v>81</v>
      </c>
      <c r="C967" s="2" t="s">
        <v>65</v>
      </c>
      <c r="D967" s="3">
        <v>0.29166666666666702</v>
      </c>
      <c r="E967" s="3">
        <v>0.375</v>
      </c>
      <c r="F967" s="2" t="s">
        <v>51</v>
      </c>
      <c r="G967" s="2" t="s">
        <v>38</v>
      </c>
      <c r="H967" s="2">
        <v>4.4000000000000004</v>
      </c>
      <c r="I967" s="2" t="s">
        <v>1135</v>
      </c>
      <c r="J967" s="2" t="s">
        <v>1136</v>
      </c>
      <c r="K967" s="4" t="s">
        <v>1137</v>
      </c>
      <c r="L967" s="2" t="str">
        <f>IFERROR(VLOOKUP(IFERROR(VLOOKUP(C967,'Destination Alias'!$A:$B,2,FALSE()),C967),'Best Months'!$A:$B,2,FALSE()),"Not listed")</f>
        <v>Dec–Mar</v>
      </c>
      <c r="S967" t="s">
        <v>1137</v>
      </c>
    </row>
    <row r="968" spans="1:19" x14ac:dyDescent="0.3">
      <c r="A968" s="2" t="s">
        <v>1134</v>
      </c>
      <c r="B968" s="2" t="s">
        <v>81</v>
      </c>
      <c r="C968" s="2" t="s">
        <v>65</v>
      </c>
      <c r="D968" s="3">
        <v>0.375</v>
      </c>
      <c r="E968" s="3">
        <v>0.45833333333333298</v>
      </c>
      <c r="F968" s="2" t="s">
        <v>51</v>
      </c>
      <c r="G968" s="2" t="s">
        <v>20</v>
      </c>
      <c r="H968" s="2">
        <v>4.4000000000000004</v>
      </c>
      <c r="I968" s="2" t="s">
        <v>1135</v>
      </c>
      <c r="J968" s="2" t="s">
        <v>1136</v>
      </c>
      <c r="K968" s="4" t="s">
        <v>1137</v>
      </c>
      <c r="L968" s="2" t="str">
        <f>IFERROR(VLOOKUP(IFERROR(VLOOKUP(C968,'Destination Alias'!$A:$B,2,FALSE()),C968),'Best Months'!$A:$B,2,FALSE()),"Not listed")</f>
        <v>Dec–Mar</v>
      </c>
      <c r="S968" t="s">
        <v>1137</v>
      </c>
    </row>
    <row r="969" spans="1:19" x14ac:dyDescent="0.3">
      <c r="A969" s="2" t="s">
        <v>1138</v>
      </c>
      <c r="B969" s="2" t="s">
        <v>49</v>
      </c>
      <c r="C969" s="2" t="s">
        <v>50</v>
      </c>
      <c r="D969" s="3">
        <v>0.25</v>
      </c>
      <c r="E969" s="3">
        <v>0.3125</v>
      </c>
      <c r="F969" s="2" t="s">
        <v>15</v>
      </c>
      <c r="G969" s="2" t="s">
        <v>28</v>
      </c>
      <c r="H969" s="2">
        <v>4.5</v>
      </c>
      <c r="I969" s="2" t="s">
        <v>1139</v>
      </c>
      <c r="J969" s="2" t="s">
        <v>1140</v>
      </c>
      <c r="K969" s="4" t="s">
        <v>1141</v>
      </c>
      <c r="L969" s="2" t="str">
        <f>IFERROR(VLOOKUP(IFERROR(VLOOKUP(C969,'Destination Alias'!$A:$B,2,FALSE()),C969),'Best Months'!$A:$B,2,FALSE()),"Not listed")</f>
        <v>Dec–Mar</v>
      </c>
      <c r="S969" t="s">
        <v>1141</v>
      </c>
    </row>
    <row r="970" spans="1:19" x14ac:dyDescent="0.3">
      <c r="A970" s="2" t="s">
        <v>1142</v>
      </c>
      <c r="B970" s="2" t="s">
        <v>13</v>
      </c>
      <c r="C970" s="2" t="s">
        <v>27</v>
      </c>
      <c r="D970" s="3">
        <v>0.33333333333333298</v>
      </c>
      <c r="E970" s="3">
        <v>0.375</v>
      </c>
      <c r="F970" s="2" t="s">
        <v>35</v>
      </c>
      <c r="G970" s="2" t="s">
        <v>16</v>
      </c>
      <c r="H970" s="2">
        <v>4.2</v>
      </c>
      <c r="I970" s="2" t="s">
        <v>1143</v>
      </c>
      <c r="J970" s="2" t="s">
        <v>1144</v>
      </c>
      <c r="K970" s="2"/>
      <c r="L970" s="2" t="str">
        <f>IFERROR(VLOOKUP(IFERROR(VLOOKUP(C970,'Destination Alias'!$A:$B,2,FALSE()),C970),'Best Months'!$A:$B,2,FALSE()),"Not listed")</f>
        <v>May–Sep</v>
      </c>
    </row>
    <row r="971" spans="1:19" x14ac:dyDescent="0.3">
      <c r="A971" s="2" t="s">
        <v>1142</v>
      </c>
      <c r="B971" s="2" t="s">
        <v>13</v>
      </c>
      <c r="C971" s="2" t="s">
        <v>27</v>
      </c>
      <c r="D971" s="3">
        <v>0.375</v>
      </c>
      <c r="E971" s="3">
        <v>0.41666666666666702</v>
      </c>
      <c r="F971" s="2" t="s">
        <v>35</v>
      </c>
      <c r="G971" s="2" t="s">
        <v>20</v>
      </c>
      <c r="H971" s="2">
        <v>4.2</v>
      </c>
      <c r="I971" s="2" t="s">
        <v>1143</v>
      </c>
      <c r="J971" s="2" t="s">
        <v>1144</v>
      </c>
      <c r="K971" s="2"/>
      <c r="L971" s="2" t="str">
        <f>IFERROR(VLOOKUP(IFERROR(VLOOKUP(C971,'Destination Alias'!$A:$B,2,FALSE()),C971),'Best Months'!$A:$B,2,FALSE()),"Not listed")</f>
        <v>May–Sep</v>
      </c>
    </row>
    <row r="972" spans="1:19" x14ac:dyDescent="0.3">
      <c r="A972" s="2" t="s">
        <v>1142</v>
      </c>
      <c r="B972" s="2" t="s">
        <v>13</v>
      </c>
      <c r="C972" s="2" t="s">
        <v>27</v>
      </c>
      <c r="D972" s="3">
        <v>0.41666666666666702</v>
      </c>
      <c r="E972" s="3">
        <v>0.45833333333333298</v>
      </c>
      <c r="F972" s="2" t="s">
        <v>35</v>
      </c>
      <c r="G972" s="2" t="s">
        <v>20</v>
      </c>
      <c r="H972" s="2">
        <v>4.2</v>
      </c>
      <c r="I972" s="2" t="s">
        <v>1143</v>
      </c>
      <c r="J972" s="2" t="s">
        <v>1144</v>
      </c>
      <c r="K972" s="2"/>
      <c r="L972" s="2" t="str">
        <f>IFERROR(VLOOKUP(IFERROR(VLOOKUP(C972,'Destination Alias'!$A:$B,2,FALSE()),C972),'Best Months'!$A:$B,2,FALSE()),"Not listed")</f>
        <v>May–Sep</v>
      </c>
    </row>
    <row r="973" spans="1:19" x14ac:dyDescent="0.3">
      <c r="A973" s="2" t="s">
        <v>1145</v>
      </c>
      <c r="B973" s="2" t="s">
        <v>22</v>
      </c>
      <c r="C973" s="2" t="s">
        <v>27</v>
      </c>
      <c r="D973" s="3">
        <v>0.6875</v>
      </c>
      <c r="E973" s="3">
        <v>0.72916666666666696</v>
      </c>
      <c r="F973" s="2" t="s">
        <v>35</v>
      </c>
      <c r="G973" s="2" t="s">
        <v>73</v>
      </c>
      <c r="H973" s="2">
        <v>4.5999999999999996</v>
      </c>
      <c r="I973" s="2" t="s">
        <v>1146</v>
      </c>
      <c r="J973" s="2" t="s">
        <v>1147</v>
      </c>
      <c r="K973" s="2"/>
      <c r="L973" s="2" t="str">
        <f>IFERROR(VLOOKUP(IFERROR(VLOOKUP(C973,'Destination Alias'!$A:$B,2,FALSE()),C973),'Best Months'!$A:$B,2,FALSE()),"Not listed")</f>
        <v>May–Sep</v>
      </c>
    </row>
    <row r="974" spans="1:19" x14ac:dyDescent="0.3">
      <c r="A974" s="2" t="s">
        <v>1145</v>
      </c>
      <c r="B974" s="2" t="s">
        <v>22</v>
      </c>
      <c r="C974" s="2" t="s">
        <v>27</v>
      </c>
      <c r="D974" s="3">
        <v>0.72916666666666696</v>
      </c>
      <c r="E974" s="3">
        <v>0.77083333333333304</v>
      </c>
      <c r="F974" s="2" t="s">
        <v>35</v>
      </c>
      <c r="G974" s="2" t="s">
        <v>52</v>
      </c>
      <c r="H974" s="2">
        <v>4.5999999999999996</v>
      </c>
      <c r="I974" s="2" t="s">
        <v>1146</v>
      </c>
      <c r="J974" s="2" t="s">
        <v>1147</v>
      </c>
      <c r="K974" s="2"/>
      <c r="L974" s="2" t="str">
        <f>IFERROR(VLOOKUP(IFERROR(VLOOKUP(C974,'Destination Alias'!$A:$B,2,FALSE()),C974),'Best Months'!$A:$B,2,FALSE()),"Not listed")</f>
        <v>May–Sep</v>
      </c>
    </row>
    <row r="975" spans="1:19" x14ac:dyDescent="0.3">
      <c r="A975" s="2" t="s">
        <v>1148</v>
      </c>
      <c r="B975" s="2" t="s">
        <v>22</v>
      </c>
      <c r="C975" s="2" t="s">
        <v>250</v>
      </c>
      <c r="D975" s="3">
        <v>0.29166666666666702</v>
      </c>
      <c r="E975" s="3">
        <v>0.33333333333333298</v>
      </c>
      <c r="F975" s="2" t="s">
        <v>61</v>
      </c>
      <c r="G975" s="2" t="s">
        <v>38</v>
      </c>
      <c r="H975" s="2">
        <v>4.0999999999999996</v>
      </c>
      <c r="I975" s="2" t="s">
        <v>1149</v>
      </c>
      <c r="J975" s="2" t="s">
        <v>1150</v>
      </c>
      <c r="K975" s="2"/>
      <c r="L975" s="2" t="str">
        <f>IFERROR(VLOOKUP(IFERROR(VLOOKUP(C975,'Destination Alias'!$A:$B,2,FALSE()),C975),'Best Months'!$A:$B,2,FALSE()),"Not listed")</f>
        <v>Feb–Sep</v>
      </c>
    </row>
    <row r="976" spans="1:19" x14ac:dyDescent="0.3">
      <c r="A976" s="2" t="s">
        <v>1148</v>
      </c>
      <c r="B976" s="2" t="s">
        <v>22</v>
      </c>
      <c r="C976" s="2" t="s">
        <v>250</v>
      </c>
      <c r="D976" s="3">
        <v>0.5</v>
      </c>
      <c r="E976" s="3">
        <v>0.52083333333333304</v>
      </c>
      <c r="F976" s="2" t="s">
        <v>61</v>
      </c>
      <c r="G976" s="2" t="s">
        <v>220</v>
      </c>
      <c r="H976" s="2">
        <v>4.0999999999999996</v>
      </c>
      <c r="I976" s="2" t="s">
        <v>1149</v>
      </c>
      <c r="J976" s="2" t="s">
        <v>1150</v>
      </c>
      <c r="K976" s="2"/>
      <c r="L976" s="2" t="str">
        <f>IFERROR(VLOOKUP(IFERROR(VLOOKUP(C976,'Destination Alias'!$A:$B,2,FALSE()),C976),'Best Months'!$A:$B,2,FALSE()),"Not listed")</f>
        <v>Feb–Sep</v>
      </c>
    </row>
    <row r="977" spans="1:19" x14ac:dyDescent="0.3">
      <c r="A977" s="2" t="s">
        <v>1148</v>
      </c>
      <c r="B977" s="2" t="s">
        <v>22</v>
      </c>
      <c r="C977" s="2" t="s">
        <v>250</v>
      </c>
      <c r="D977" s="3">
        <v>0.70833333333333304</v>
      </c>
      <c r="E977" s="3">
        <v>0.75</v>
      </c>
      <c r="F977" s="2" t="s">
        <v>61</v>
      </c>
      <c r="G977" s="2" t="s">
        <v>52</v>
      </c>
      <c r="H977" s="2">
        <v>4.0999999999999996</v>
      </c>
      <c r="I977" s="2" t="s">
        <v>1149</v>
      </c>
      <c r="J977" s="2" t="s">
        <v>1150</v>
      </c>
      <c r="K977" s="2"/>
      <c r="L977" s="2" t="str">
        <f>IFERROR(VLOOKUP(IFERROR(VLOOKUP(C977,'Destination Alias'!$A:$B,2,FALSE()),C977),'Best Months'!$A:$B,2,FALSE()),"Not listed")</f>
        <v>Feb–Sep</v>
      </c>
    </row>
    <row r="978" spans="1:19" x14ac:dyDescent="0.3">
      <c r="A978" s="2" t="s">
        <v>1148</v>
      </c>
      <c r="B978" s="2" t="s">
        <v>22</v>
      </c>
      <c r="C978" s="2" t="s">
        <v>250</v>
      </c>
      <c r="D978" s="3">
        <v>0.27083333333333298</v>
      </c>
      <c r="E978" s="3">
        <v>0.39583333333333298</v>
      </c>
      <c r="F978" s="2" t="s">
        <v>61</v>
      </c>
      <c r="G978" s="2" t="s">
        <v>28</v>
      </c>
      <c r="H978" s="2">
        <v>4.0999999999999996</v>
      </c>
      <c r="I978" s="2" t="s">
        <v>1149</v>
      </c>
      <c r="J978" s="2" t="s">
        <v>1150</v>
      </c>
      <c r="K978" s="2"/>
      <c r="L978" s="2" t="str">
        <f>IFERROR(VLOOKUP(IFERROR(VLOOKUP(C978,'Destination Alias'!$A:$B,2,FALSE()),C978),'Best Months'!$A:$B,2,FALSE()),"Not listed")</f>
        <v>Feb–Sep</v>
      </c>
    </row>
    <row r="979" spans="1:19" x14ac:dyDescent="0.3">
      <c r="A979" s="2" t="s">
        <v>1151</v>
      </c>
      <c r="B979" s="2" t="s">
        <v>361</v>
      </c>
      <c r="C979" s="2" t="s">
        <v>65</v>
      </c>
      <c r="D979" s="3">
        <v>0.25</v>
      </c>
      <c r="E979" s="3">
        <v>0.28125</v>
      </c>
      <c r="F979" s="2" t="s">
        <v>90</v>
      </c>
      <c r="G979" s="2" t="s">
        <v>28</v>
      </c>
      <c r="H979" s="2">
        <v>4.4000000000000004</v>
      </c>
      <c r="I979" s="2" t="s">
        <v>1152</v>
      </c>
      <c r="J979" s="2" t="s">
        <v>1153</v>
      </c>
      <c r="K979" s="4" t="s">
        <v>1154</v>
      </c>
      <c r="L979" s="2" t="str">
        <f>IFERROR(VLOOKUP(IFERROR(VLOOKUP(C979,'Destination Alias'!$A:$B,2,FALSE()),C979),'Best Months'!$A:$B,2,FALSE()),"Not listed")</f>
        <v>Dec–Mar</v>
      </c>
      <c r="S979" t="s">
        <v>1154</v>
      </c>
    </row>
    <row r="980" spans="1:19" x14ac:dyDescent="0.3">
      <c r="A980" s="2" t="s">
        <v>1151</v>
      </c>
      <c r="B980" s="2" t="s">
        <v>361</v>
      </c>
      <c r="C980" s="2" t="s">
        <v>65</v>
      </c>
      <c r="D980" s="3">
        <v>0.28125</v>
      </c>
      <c r="E980" s="3">
        <v>0.3125</v>
      </c>
      <c r="F980" s="2" t="s">
        <v>90</v>
      </c>
      <c r="G980" s="2" t="s">
        <v>28</v>
      </c>
      <c r="H980" s="2">
        <v>4.4000000000000004</v>
      </c>
      <c r="I980" s="2" t="s">
        <v>1152</v>
      </c>
      <c r="J980" s="2" t="s">
        <v>1153</v>
      </c>
      <c r="K980" s="4" t="s">
        <v>1154</v>
      </c>
      <c r="L980" s="2" t="str">
        <f>IFERROR(VLOOKUP(IFERROR(VLOOKUP(C980,'Destination Alias'!$A:$B,2,FALSE()),C980),'Best Months'!$A:$B,2,FALSE()),"Not listed")</f>
        <v>Dec–Mar</v>
      </c>
      <c r="S980" t="s">
        <v>1154</v>
      </c>
    </row>
    <row r="981" spans="1:19" x14ac:dyDescent="0.3">
      <c r="A981" s="2" t="s">
        <v>1151</v>
      </c>
      <c r="B981" s="2" t="s">
        <v>361</v>
      </c>
      <c r="C981" s="2" t="s">
        <v>65</v>
      </c>
      <c r="D981" s="3">
        <v>0.3125</v>
      </c>
      <c r="E981" s="3">
        <v>0.34375</v>
      </c>
      <c r="F981" s="2" t="s">
        <v>90</v>
      </c>
      <c r="G981" s="2" t="s">
        <v>38</v>
      </c>
      <c r="H981" s="2">
        <v>4.4000000000000004</v>
      </c>
      <c r="I981" s="2" t="s">
        <v>1152</v>
      </c>
      <c r="J981" s="2" t="s">
        <v>1153</v>
      </c>
      <c r="K981" s="4" t="s">
        <v>1154</v>
      </c>
      <c r="L981" s="2" t="str">
        <f>IFERROR(VLOOKUP(IFERROR(VLOOKUP(C981,'Destination Alias'!$A:$B,2,FALSE()),C981),'Best Months'!$A:$B,2,FALSE()),"Not listed")</f>
        <v>Dec–Mar</v>
      </c>
      <c r="S981" t="s">
        <v>1154</v>
      </c>
    </row>
    <row r="982" spans="1:19" x14ac:dyDescent="0.3">
      <c r="A982" s="2" t="s">
        <v>1155</v>
      </c>
      <c r="B982" s="2" t="s">
        <v>22</v>
      </c>
      <c r="C982" s="2" t="s">
        <v>65</v>
      </c>
      <c r="D982" s="3">
        <v>0.75</v>
      </c>
      <c r="E982" s="3">
        <v>0.79166666666666696</v>
      </c>
      <c r="F982" s="2" t="s">
        <v>35</v>
      </c>
      <c r="G982" s="2" t="s">
        <v>102</v>
      </c>
      <c r="H982" s="2">
        <v>4.5999999999999996</v>
      </c>
      <c r="I982" s="2" t="s">
        <v>1156</v>
      </c>
      <c r="J982" s="2" t="s">
        <v>1157</v>
      </c>
      <c r="K982" s="4" t="s">
        <v>1158</v>
      </c>
      <c r="L982" s="2" t="str">
        <f>IFERROR(VLOOKUP(IFERROR(VLOOKUP(C982,'Destination Alias'!$A:$B,2,FALSE()),C982),'Best Months'!$A:$B,2,FALSE()),"Not listed")</f>
        <v>Dec–Mar</v>
      </c>
      <c r="S982" t="s">
        <v>1158</v>
      </c>
    </row>
    <row r="983" spans="1:19" x14ac:dyDescent="0.3">
      <c r="A983" s="2" t="s">
        <v>1155</v>
      </c>
      <c r="B983" s="2" t="s">
        <v>22</v>
      </c>
      <c r="C983" s="2" t="s">
        <v>65</v>
      </c>
      <c r="D983" s="3">
        <v>0.79166666666666696</v>
      </c>
      <c r="E983" s="3">
        <v>0.83333333333333304</v>
      </c>
      <c r="F983" s="2" t="s">
        <v>35</v>
      </c>
      <c r="G983" s="2" t="s">
        <v>102</v>
      </c>
      <c r="H983" s="2">
        <v>4.5999999999999996</v>
      </c>
      <c r="I983" s="2" t="s">
        <v>1156</v>
      </c>
      <c r="J983" s="2" t="s">
        <v>1157</v>
      </c>
      <c r="K983" s="4" t="s">
        <v>1158</v>
      </c>
      <c r="L983" s="2" t="str">
        <f>IFERROR(VLOOKUP(IFERROR(VLOOKUP(C983,'Destination Alias'!$A:$B,2,FALSE()),C983),'Best Months'!$A:$B,2,FALSE()),"Not listed")</f>
        <v>Dec–Mar</v>
      </c>
      <c r="S983" t="s">
        <v>1158</v>
      </c>
    </row>
    <row r="984" spans="1:19" x14ac:dyDescent="0.3">
      <c r="A984" s="2" t="s">
        <v>1159</v>
      </c>
      <c r="B984" s="2" t="s">
        <v>13</v>
      </c>
      <c r="C984" s="2" t="s">
        <v>27</v>
      </c>
      <c r="D984" s="3">
        <v>0.29166666666666702</v>
      </c>
      <c r="E984" s="3">
        <v>0.33333333333333298</v>
      </c>
      <c r="F984" s="2" t="s">
        <v>35</v>
      </c>
      <c r="G984" s="2" t="s">
        <v>38</v>
      </c>
      <c r="H984" s="2">
        <v>4.2</v>
      </c>
      <c r="I984" s="2" t="s">
        <v>1160</v>
      </c>
      <c r="J984" s="2" t="s">
        <v>1161</v>
      </c>
      <c r="K984" s="2"/>
      <c r="L984" s="2" t="str">
        <f>IFERROR(VLOOKUP(IFERROR(VLOOKUP(C984,'Destination Alias'!$A:$B,2,FALSE()),C984),'Best Months'!$A:$B,2,FALSE()),"Not listed")</f>
        <v>May–Sep</v>
      </c>
    </row>
    <row r="985" spans="1:19" x14ac:dyDescent="0.3">
      <c r="A985" s="2" t="s">
        <v>1159</v>
      </c>
      <c r="B985" s="2" t="s">
        <v>13</v>
      </c>
      <c r="C985" s="2" t="s">
        <v>27</v>
      </c>
      <c r="D985" s="3">
        <v>0.33333333333333298</v>
      </c>
      <c r="E985" s="3">
        <v>0.375</v>
      </c>
      <c r="F985" s="2" t="s">
        <v>35</v>
      </c>
      <c r="G985" s="2" t="s">
        <v>16</v>
      </c>
      <c r="H985" s="2">
        <v>4.2</v>
      </c>
      <c r="I985" s="2" t="s">
        <v>1160</v>
      </c>
      <c r="J985" s="2" t="s">
        <v>1161</v>
      </c>
      <c r="K985" s="2"/>
      <c r="L985" s="2" t="str">
        <f>IFERROR(VLOOKUP(IFERROR(VLOOKUP(C985,'Destination Alias'!$A:$B,2,FALSE()),C985),'Best Months'!$A:$B,2,FALSE()),"Not listed")</f>
        <v>May–Sep</v>
      </c>
    </row>
    <row r="986" spans="1:19" x14ac:dyDescent="0.3">
      <c r="A986" s="2" t="s">
        <v>1159</v>
      </c>
      <c r="B986" s="2" t="s">
        <v>13</v>
      </c>
      <c r="C986" s="2" t="s">
        <v>27</v>
      </c>
      <c r="D986" s="3">
        <v>0.375</v>
      </c>
      <c r="E986" s="3">
        <v>0.41666666666666702</v>
      </c>
      <c r="F986" s="2" t="s">
        <v>35</v>
      </c>
      <c r="G986" s="2" t="s">
        <v>20</v>
      </c>
      <c r="H986" s="2">
        <v>4.2</v>
      </c>
      <c r="I986" s="2" t="s">
        <v>1160</v>
      </c>
      <c r="J986" s="2" t="s">
        <v>1161</v>
      </c>
      <c r="K986" s="2"/>
      <c r="L986" s="2" t="str">
        <f>IFERROR(VLOOKUP(IFERROR(VLOOKUP(C986,'Destination Alias'!$A:$B,2,FALSE()),C986),'Best Months'!$A:$B,2,FALSE()),"Not listed")</f>
        <v>May–Sep</v>
      </c>
    </row>
    <row r="987" spans="1:19" x14ac:dyDescent="0.3">
      <c r="A987" s="2" t="s">
        <v>1162</v>
      </c>
      <c r="B987" s="2" t="s">
        <v>13</v>
      </c>
      <c r="C987" s="2" t="s">
        <v>108</v>
      </c>
      <c r="D987" s="3">
        <v>0.33333333333333298</v>
      </c>
      <c r="E987" s="3">
        <v>0.39583333333333298</v>
      </c>
      <c r="F987" s="2" t="s">
        <v>15</v>
      </c>
      <c r="G987" s="2" t="s">
        <v>16</v>
      </c>
      <c r="H987" s="2">
        <v>4</v>
      </c>
      <c r="I987" s="2" t="s">
        <v>604</v>
      </c>
      <c r="J987" s="2" t="s">
        <v>1163</v>
      </c>
      <c r="K987" s="2" t="s">
        <v>1164</v>
      </c>
      <c r="L987" s="2" t="str">
        <f>IFERROR(VLOOKUP(IFERROR(VLOOKUP(C987,'Destination Alias'!$A:$B,2,FALSE()),C987),'Best Months'!$A:$B,2,FALSE()),"Not listed")</f>
        <v>Jan–Mar, Jul–Aug</v>
      </c>
    </row>
    <row r="988" spans="1:19" x14ac:dyDescent="0.3">
      <c r="A988" s="2" t="s">
        <v>1162</v>
      </c>
      <c r="B988" s="2" t="s">
        <v>13</v>
      </c>
      <c r="C988" s="2" t="s">
        <v>108</v>
      </c>
      <c r="D988" s="3">
        <v>0.39583333333333298</v>
      </c>
      <c r="E988" s="3">
        <v>0.45833333333333298</v>
      </c>
      <c r="F988" s="2" t="s">
        <v>15</v>
      </c>
      <c r="G988" s="2" t="s">
        <v>20</v>
      </c>
      <c r="H988" s="2">
        <v>4</v>
      </c>
      <c r="I988" s="2" t="s">
        <v>604</v>
      </c>
      <c r="J988" s="2" t="s">
        <v>1163</v>
      </c>
      <c r="K988" s="2" t="s">
        <v>1164</v>
      </c>
      <c r="L988" s="2" t="str">
        <f>IFERROR(VLOOKUP(IFERROR(VLOOKUP(C988,'Destination Alias'!$A:$B,2,FALSE()),C988),'Best Months'!$A:$B,2,FALSE()),"Not listed")</f>
        <v>Jan–Mar, Jul–Aug</v>
      </c>
    </row>
    <row r="989" spans="1:19" x14ac:dyDescent="0.3">
      <c r="A989" s="2" t="s">
        <v>1165</v>
      </c>
      <c r="B989" s="2" t="s">
        <v>13</v>
      </c>
      <c r="C989" s="2" t="s">
        <v>137</v>
      </c>
      <c r="D989" s="3">
        <v>0.33333333333333298</v>
      </c>
      <c r="E989" s="3">
        <v>0.39583333333333298</v>
      </c>
      <c r="F989" s="2" t="s">
        <v>15</v>
      </c>
      <c r="G989" s="2" t="s">
        <v>16</v>
      </c>
      <c r="H989" s="2">
        <v>4</v>
      </c>
      <c r="I989" s="2" t="s">
        <v>604</v>
      </c>
      <c r="J989" s="2" t="s">
        <v>1166</v>
      </c>
      <c r="K989" s="4" t="s">
        <v>1167</v>
      </c>
      <c r="L989" s="2" t="str">
        <f>IFERROR(VLOOKUP(IFERROR(VLOOKUP(C989,'Destination Alias'!$A:$B,2,FALSE()),C989),'Best Months'!$A:$B,2,FALSE()),"Not listed")</f>
        <v>Jan–Mar</v>
      </c>
      <c r="S989" t="s">
        <v>1167</v>
      </c>
    </row>
    <row r="990" spans="1:19" x14ac:dyDescent="0.3">
      <c r="A990" s="2" t="s">
        <v>1165</v>
      </c>
      <c r="B990" s="2" t="s">
        <v>13</v>
      </c>
      <c r="C990" s="2" t="s">
        <v>137</v>
      </c>
      <c r="D990" s="3">
        <v>0.39583333333333298</v>
      </c>
      <c r="E990" s="3">
        <v>0.45833333333333298</v>
      </c>
      <c r="F990" s="2" t="s">
        <v>15</v>
      </c>
      <c r="G990" s="2" t="s">
        <v>20</v>
      </c>
      <c r="H990" s="2">
        <v>4</v>
      </c>
      <c r="I990" s="2" t="s">
        <v>604</v>
      </c>
      <c r="J990" s="2" t="s">
        <v>1166</v>
      </c>
      <c r="K990" s="4" t="s">
        <v>1167</v>
      </c>
      <c r="L990" s="2" t="str">
        <f>IFERROR(VLOOKUP(IFERROR(VLOOKUP(C990,'Destination Alias'!$A:$B,2,FALSE()),C990),'Best Months'!$A:$B,2,FALSE()),"Not listed")</f>
        <v>Jan–Mar</v>
      </c>
      <c r="S990" t="s">
        <v>1167</v>
      </c>
    </row>
    <row r="991" spans="1:19" x14ac:dyDescent="0.3">
      <c r="A991" s="2" t="s">
        <v>1168</v>
      </c>
      <c r="B991" s="2" t="s">
        <v>49</v>
      </c>
      <c r="C991" s="2" t="s">
        <v>137</v>
      </c>
      <c r="D991" s="3">
        <v>8.3333333333333301E-2</v>
      </c>
      <c r="E991" s="3">
        <v>0.104166666666667</v>
      </c>
      <c r="F991" s="2" t="s">
        <v>1095</v>
      </c>
      <c r="G991" s="2" t="s">
        <v>52</v>
      </c>
      <c r="H991" s="2">
        <v>4.5</v>
      </c>
      <c r="I991" s="2" t="s">
        <v>1169</v>
      </c>
      <c r="J991" s="2" t="s">
        <v>1170</v>
      </c>
      <c r="K991" s="4" t="s">
        <v>1171</v>
      </c>
      <c r="L991" s="2" t="str">
        <f>IFERROR(VLOOKUP(IFERROR(VLOOKUP(C991,'Destination Alias'!$A:$B,2,FALSE()),C991),'Best Months'!$A:$B,2,FALSE()),"Not listed")</f>
        <v>Jan–Mar</v>
      </c>
      <c r="S991" t="s">
        <v>1171</v>
      </c>
    </row>
    <row r="992" spans="1:19" x14ac:dyDescent="0.3">
      <c r="A992" s="2" t="s">
        <v>1168</v>
      </c>
      <c r="B992" s="2" t="s">
        <v>49</v>
      </c>
      <c r="C992" s="2" t="s">
        <v>137</v>
      </c>
      <c r="D992" s="3">
        <v>8.3333333333333301E-2</v>
      </c>
      <c r="E992" s="3">
        <v>0.375</v>
      </c>
      <c r="F992" s="2" t="s">
        <v>1095</v>
      </c>
      <c r="G992" s="2" t="s">
        <v>52</v>
      </c>
      <c r="H992" s="2">
        <v>4.5</v>
      </c>
      <c r="I992" s="2" t="s">
        <v>1169</v>
      </c>
      <c r="J992" s="2" t="s">
        <v>1170</v>
      </c>
      <c r="K992" s="4" t="s">
        <v>1171</v>
      </c>
      <c r="L992" s="2" t="str">
        <f>IFERROR(VLOOKUP(IFERROR(VLOOKUP(C992,'Destination Alias'!$A:$B,2,FALSE()),C992),'Best Months'!$A:$B,2,FALSE()),"Not listed")</f>
        <v>Jan–Mar</v>
      </c>
      <c r="S992" t="s">
        <v>1171</v>
      </c>
    </row>
    <row r="993" spans="1:19" x14ac:dyDescent="0.3">
      <c r="A993" s="2" t="s">
        <v>1172</v>
      </c>
      <c r="B993" s="2" t="s">
        <v>22</v>
      </c>
      <c r="C993" s="2" t="s">
        <v>530</v>
      </c>
      <c r="D993" s="3">
        <v>0.33333333333333298</v>
      </c>
      <c r="E993" s="3">
        <v>0.36458333333333298</v>
      </c>
      <c r="F993" s="2" t="s">
        <v>90</v>
      </c>
      <c r="G993" s="2" t="s">
        <v>16</v>
      </c>
      <c r="H993" s="2">
        <v>4.5999999999999996</v>
      </c>
      <c r="I993" s="2" t="s">
        <v>1173</v>
      </c>
      <c r="J993" s="2" t="s">
        <v>1174</v>
      </c>
      <c r="K993" s="2"/>
      <c r="L993" s="2" t="str">
        <f>IFERROR(VLOOKUP(IFERROR(VLOOKUP(C993,'Destination Alias'!$A:$B,2,FALSE()),C993),'Best Months'!$A:$B,2,FALSE()),"Not listed")</f>
        <v>Jan–Mar, Jul–Sep</v>
      </c>
    </row>
    <row r="994" spans="1:19" x14ac:dyDescent="0.3">
      <c r="A994" s="2" t="s">
        <v>1172</v>
      </c>
      <c r="B994" s="2" t="s">
        <v>22</v>
      </c>
      <c r="C994" s="2" t="s">
        <v>530</v>
      </c>
      <c r="D994" s="3">
        <v>0.36458333333333298</v>
      </c>
      <c r="E994" s="3">
        <v>0.39583333333333298</v>
      </c>
      <c r="F994" s="2" t="s">
        <v>90</v>
      </c>
      <c r="G994" s="2" t="s">
        <v>16</v>
      </c>
      <c r="H994" s="2">
        <v>4.5999999999999996</v>
      </c>
      <c r="I994" s="2" t="s">
        <v>1173</v>
      </c>
      <c r="J994" s="2" t="s">
        <v>1174</v>
      </c>
      <c r="K994" s="2"/>
      <c r="L994" s="2" t="str">
        <f>IFERROR(VLOOKUP(IFERROR(VLOOKUP(C994,'Destination Alias'!$A:$B,2,FALSE()),C994),'Best Months'!$A:$B,2,FALSE()),"Not listed")</f>
        <v>Jan–Mar, Jul–Sep</v>
      </c>
    </row>
    <row r="995" spans="1:19" x14ac:dyDescent="0.3">
      <c r="A995" s="2" t="s">
        <v>1175</v>
      </c>
      <c r="B995" s="2" t="s">
        <v>49</v>
      </c>
      <c r="C995" s="2" t="s">
        <v>50</v>
      </c>
      <c r="D995" s="3">
        <v>0.6875</v>
      </c>
      <c r="E995" s="3">
        <v>0.72916666666666696</v>
      </c>
      <c r="F995" s="2" t="s">
        <v>35</v>
      </c>
      <c r="G995" s="2" t="s">
        <v>73</v>
      </c>
      <c r="H995" s="2">
        <v>4.5</v>
      </c>
      <c r="I995" s="2" t="s">
        <v>1176</v>
      </c>
      <c r="J995" s="2" t="s">
        <v>1177</v>
      </c>
      <c r="K995" s="4" t="s">
        <v>1178</v>
      </c>
      <c r="L995" s="2" t="str">
        <f>IFERROR(VLOOKUP(IFERROR(VLOOKUP(C995,'Destination Alias'!$A:$B,2,FALSE()),C995),'Best Months'!$A:$B,2,FALSE()),"Not listed")</f>
        <v>Dec–Mar</v>
      </c>
      <c r="S995" t="s">
        <v>1178</v>
      </c>
    </row>
    <row r="996" spans="1:19" x14ac:dyDescent="0.3">
      <c r="A996" s="2" t="s">
        <v>1175</v>
      </c>
      <c r="B996" s="2" t="s">
        <v>49</v>
      </c>
      <c r="C996" s="2" t="s">
        <v>50</v>
      </c>
      <c r="D996" s="3">
        <v>0.72916666666666696</v>
      </c>
      <c r="E996" s="3">
        <v>0.77083333333333304</v>
      </c>
      <c r="F996" s="2" t="s">
        <v>35</v>
      </c>
      <c r="G996" s="2" t="s">
        <v>52</v>
      </c>
      <c r="H996" s="2">
        <v>4.5</v>
      </c>
      <c r="I996" s="2" t="s">
        <v>1176</v>
      </c>
      <c r="J996" s="2" t="s">
        <v>1177</v>
      </c>
      <c r="K996" s="4" t="s">
        <v>1178</v>
      </c>
      <c r="L996" s="2" t="str">
        <f>IFERROR(VLOOKUP(IFERROR(VLOOKUP(C996,'Destination Alias'!$A:$B,2,FALSE()),C996),'Best Months'!$A:$B,2,FALSE()),"Not listed")</f>
        <v>Dec–Mar</v>
      </c>
      <c r="S996" t="s">
        <v>1178</v>
      </c>
    </row>
    <row r="997" spans="1:19" x14ac:dyDescent="0.3">
      <c r="A997" s="2" t="s">
        <v>1179</v>
      </c>
      <c r="B997" s="2" t="s">
        <v>49</v>
      </c>
      <c r="C997" s="2" t="s">
        <v>50</v>
      </c>
      <c r="D997" s="3">
        <v>0.47916666666666702</v>
      </c>
      <c r="E997" s="3">
        <v>0.54166666666666696</v>
      </c>
      <c r="F997" s="2" t="s">
        <v>15</v>
      </c>
      <c r="G997" s="2" t="s">
        <v>220</v>
      </c>
      <c r="H997" s="2">
        <v>4.5</v>
      </c>
      <c r="I997" s="2" t="s">
        <v>1180</v>
      </c>
      <c r="J997" s="2" t="s">
        <v>1181</v>
      </c>
      <c r="K997" s="2"/>
      <c r="L997" s="2" t="str">
        <f>IFERROR(VLOOKUP(IFERROR(VLOOKUP(C997,'Destination Alias'!$A:$B,2,FALSE()),C997),'Best Months'!$A:$B,2,FALSE()),"Not listed")</f>
        <v>Dec–Mar</v>
      </c>
    </row>
    <row r="998" spans="1:19" x14ac:dyDescent="0.3">
      <c r="A998" s="2" t="s">
        <v>1182</v>
      </c>
      <c r="B998" s="2" t="s">
        <v>81</v>
      </c>
      <c r="C998" s="2" t="s">
        <v>65</v>
      </c>
      <c r="D998" s="3">
        <v>0.33333333333333298</v>
      </c>
      <c r="E998" s="3">
        <v>0.41666666666666702</v>
      </c>
      <c r="F998" s="2" t="s">
        <v>51</v>
      </c>
      <c r="G998" s="2" t="s">
        <v>16</v>
      </c>
      <c r="H998" s="2">
        <v>4.4000000000000004</v>
      </c>
      <c r="I998" s="2" t="s">
        <v>1183</v>
      </c>
      <c r="J998" s="2" t="s">
        <v>1184</v>
      </c>
      <c r="K998" s="4" t="s">
        <v>1185</v>
      </c>
      <c r="L998" s="2" t="str">
        <f>IFERROR(VLOOKUP(IFERROR(VLOOKUP(C998,'Destination Alias'!$A:$B,2,FALSE()),C998),'Best Months'!$A:$B,2,FALSE()),"Not listed")</f>
        <v>Dec–Mar</v>
      </c>
      <c r="S998" t="s">
        <v>1185</v>
      </c>
    </row>
    <row r="999" spans="1:19" x14ac:dyDescent="0.3">
      <c r="A999" s="2" t="s">
        <v>1182</v>
      </c>
      <c r="B999" s="2" t="s">
        <v>81</v>
      </c>
      <c r="C999" s="2" t="s">
        <v>65</v>
      </c>
      <c r="D999" s="3">
        <v>0.41666666666666702</v>
      </c>
      <c r="E999" s="3">
        <v>0.5</v>
      </c>
      <c r="F999" s="2" t="s">
        <v>51</v>
      </c>
      <c r="G999" s="2" t="s">
        <v>20</v>
      </c>
      <c r="H999" s="2">
        <v>4.4000000000000004</v>
      </c>
      <c r="I999" s="2" t="s">
        <v>1183</v>
      </c>
      <c r="J999" s="2" t="s">
        <v>1184</v>
      </c>
      <c r="K999" s="4" t="s">
        <v>1185</v>
      </c>
      <c r="L999" s="2" t="str">
        <f>IFERROR(VLOOKUP(IFERROR(VLOOKUP(C999,'Destination Alias'!$A:$B,2,FALSE()),C999),'Best Months'!$A:$B,2,FALSE()),"Not listed")</f>
        <v>Dec–Mar</v>
      </c>
      <c r="S999" t="s">
        <v>1185</v>
      </c>
    </row>
    <row r="1000" spans="1:19" x14ac:dyDescent="0.3">
      <c r="A1000" s="2" t="s">
        <v>1186</v>
      </c>
      <c r="B1000" s="2" t="s">
        <v>81</v>
      </c>
      <c r="C1000" s="2" t="s">
        <v>119</v>
      </c>
      <c r="D1000" s="3">
        <v>0.125</v>
      </c>
      <c r="E1000" s="3">
        <v>0.29166666666666702</v>
      </c>
      <c r="F1000" s="2" t="s">
        <v>129</v>
      </c>
      <c r="G1000" s="2" t="s">
        <v>52</v>
      </c>
      <c r="H1000" s="2">
        <v>5</v>
      </c>
      <c r="I1000" s="2" t="s">
        <v>1187</v>
      </c>
      <c r="J1000" s="2" t="s">
        <v>1188</v>
      </c>
      <c r="K1000" s="2"/>
      <c r="L1000" s="2" t="str">
        <f>IFERROR(VLOOKUP(IFERROR(VLOOKUP(C1000,'Destination Alias'!$A:$B,2,FALSE()),C1000),'Best Months'!$A:$B,2,FALSE()),"Not listed")</f>
        <v>Jan–Mar</v>
      </c>
    </row>
    <row r="1001" spans="1:19" x14ac:dyDescent="0.3">
      <c r="A1001" s="2" t="s">
        <v>1186</v>
      </c>
      <c r="B1001" s="2" t="s">
        <v>81</v>
      </c>
      <c r="C1001" s="2" t="s">
        <v>119</v>
      </c>
      <c r="D1001" s="3">
        <v>0.16666666666666699</v>
      </c>
      <c r="E1001" s="3">
        <v>0.33333333333333298</v>
      </c>
      <c r="F1001" s="2" t="s">
        <v>129</v>
      </c>
      <c r="G1001" s="2" t="s">
        <v>52</v>
      </c>
      <c r="H1001" s="2">
        <v>5</v>
      </c>
      <c r="I1001" s="2" t="s">
        <v>1187</v>
      </c>
      <c r="J1001" s="2" t="s">
        <v>1188</v>
      </c>
      <c r="K1001" s="2"/>
      <c r="L1001" s="2" t="str">
        <f>IFERROR(VLOOKUP(IFERROR(VLOOKUP(C1001,'Destination Alias'!$A:$B,2,FALSE()),C1001),'Best Months'!$A:$B,2,FALSE()),"Not listed")</f>
        <v>Jan–Mar</v>
      </c>
    </row>
    <row r="1002" spans="1:19" x14ac:dyDescent="0.3">
      <c r="A1002" s="2" t="s">
        <v>1186</v>
      </c>
      <c r="B1002" s="2" t="s">
        <v>81</v>
      </c>
      <c r="C1002" s="2" t="s">
        <v>119</v>
      </c>
      <c r="D1002" s="3">
        <v>0.17708333333333301</v>
      </c>
      <c r="E1002" s="3">
        <v>0.34375</v>
      </c>
      <c r="F1002" s="2" t="s">
        <v>129</v>
      </c>
      <c r="G1002" s="2" t="s">
        <v>52</v>
      </c>
      <c r="H1002" s="2">
        <v>5</v>
      </c>
      <c r="I1002" s="2" t="s">
        <v>1187</v>
      </c>
      <c r="J1002" s="2" t="s">
        <v>1188</v>
      </c>
      <c r="K1002" s="2"/>
      <c r="L1002" s="2" t="str">
        <f>IFERROR(VLOOKUP(IFERROR(VLOOKUP(C1002,'Destination Alias'!$A:$B,2,FALSE()),C1002),'Best Months'!$A:$B,2,FALSE()),"Not listed")</f>
        <v>Jan–Mar</v>
      </c>
    </row>
    <row r="1003" spans="1:19" x14ac:dyDescent="0.3">
      <c r="A1003" s="2" t="s">
        <v>1186</v>
      </c>
      <c r="B1003" s="2" t="s">
        <v>81</v>
      </c>
      <c r="C1003" s="2" t="s">
        <v>119</v>
      </c>
      <c r="D1003" s="3">
        <v>0.20833333333333301</v>
      </c>
      <c r="E1003" s="3">
        <v>0.375</v>
      </c>
      <c r="F1003" s="2" t="s">
        <v>129</v>
      </c>
      <c r="G1003" s="2" t="s">
        <v>28</v>
      </c>
      <c r="H1003" s="2">
        <v>5</v>
      </c>
      <c r="I1003" s="2" t="s">
        <v>1187</v>
      </c>
      <c r="J1003" s="2" t="s">
        <v>1188</v>
      </c>
      <c r="K1003" s="2"/>
      <c r="L1003" s="2" t="str">
        <f>IFERROR(VLOOKUP(IFERROR(VLOOKUP(C1003,'Destination Alias'!$A:$B,2,FALSE()),C1003),'Best Months'!$A:$B,2,FALSE()),"Not listed")</f>
        <v>Jan–Mar</v>
      </c>
    </row>
    <row r="1004" spans="1:19" x14ac:dyDescent="0.3">
      <c r="A1004" s="2" t="s">
        <v>1186</v>
      </c>
      <c r="B1004" s="2" t="s">
        <v>81</v>
      </c>
      <c r="C1004" s="2" t="s">
        <v>119</v>
      </c>
      <c r="D1004" s="3">
        <v>0.23958333333333301</v>
      </c>
      <c r="E1004" s="3">
        <v>0.40625</v>
      </c>
      <c r="F1004" s="2" t="s">
        <v>129</v>
      </c>
      <c r="G1004" s="2" t="s">
        <v>28</v>
      </c>
      <c r="H1004" s="2">
        <v>5</v>
      </c>
      <c r="I1004" s="2" t="s">
        <v>1187</v>
      </c>
      <c r="J1004" s="2" t="s">
        <v>1188</v>
      </c>
      <c r="K1004" s="2"/>
      <c r="L1004" s="2" t="str">
        <f>IFERROR(VLOOKUP(IFERROR(VLOOKUP(C1004,'Destination Alias'!$A:$B,2,FALSE()),C1004),'Best Months'!$A:$B,2,FALSE()),"Not listed")</f>
        <v>Jan–Mar</v>
      </c>
    </row>
    <row r="1005" spans="1:19" x14ac:dyDescent="0.3">
      <c r="A1005" s="2" t="s">
        <v>1186</v>
      </c>
      <c r="B1005" s="2" t="s">
        <v>81</v>
      </c>
      <c r="C1005" s="2" t="s">
        <v>119</v>
      </c>
      <c r="D1005" s="3">
        <v>0.25</v>
      </c>
      <c r="E1005" s="3">
        <v>0.41666666666666702</v>
      </c>
      <c r="F1005" s="2" t="s">
        <v>129</v>
      </c>
      <c r="G1005" s="2" t="s">
        <v>28</v>
      </c>
      <c r="H1005" s="2">
        <v>5</v>
      </c>
      <c r="I1005" s="2" t="s">
        <v>1187</v>
      </c>
      <c r="J1005" s="2" t="s">
        <v>1188</v>
      </c>
      <c r="K1005" s="2"/>
      <c r="L1005" s="2" t="str">
        <f>IFERROR(VLOOKUP(IFERROR(VLOOKUP(C1005,'Destination Alias'!$A:$B,2,FALSE()),C1005),'Best Months'!$A:$B,2,FALSE()),"Not listed")</f>
        <v>Jan–Mar</v>
      </c>
    </row>
    <row r="1006" spans="1:19" x14ac:dyDescent="0.3">
      <c r="A1006" s="2" t="s">
        <v>1186</v>
      </c>
      <c r="B1006" s="2" t="s">
        <v>81</v>
      </c>
      <c r="C1006" s="2" t="s">
        <v>119</v>
      </c>
      <c r="D1006" s="3">
        <v>0.25</v>
      </c>
      <c r="E1006" s="3">
        <v>0.41666666666666702</v>
      </c>
      <c r="F1006" s="2" t="s">
        <v>129</v>
      </c>
      <c r="G1006" s="2" t="s">
        <v>28</v>
      </c>
      <c r="H1006" s="2">
        <v>5</v>
      </c>
      <c r="I1006" s="2" t="s">
        <v>1187</v>
      </c>
      <c r="J1006" s="2" t="s">
        <v>1188</v>
      </c>
      <c r="K1006" s="2"/>
      <c r="L1006" s="2" t="str">
        <f>IFERROR(VLOOKUP(IFERROR(VLOOKUP(C1006,'Destination Alias'!$A:$B,2,FALSE()),C1006),'Best Months'!$A:$B,2,FALSE()),"Not listed")</f>
        <v>Jan–Mar</v>
      </c>
    </row>
    <row r="1007" spans="1:19" x14ac:dyDescent="0.3">
      <c r="A1007" s="2" t="s">
        <v>1186</v>
      </c>
      <c r="B1007" s="2" t="s">
        <v>81</v>
      </c>
      <c r="C1007" s="2" t="s">
        <v>119</v>
      </c>
      <c r="D1007" s="3">
        <v>0.27083333333333298</v>
      </c>
      <c r="E1007" s="3">
        <v>0.4375</v>
      </c>
      <c r="F1007" s="2" t="s">
        <v>129</v>
      </c>
      <c r="G1007" s="2" t="s">
        <v>28</v>
      </c>
      <c r="H1007" s="2">
        <v>5</v>
      </c>
      <c r="I1007" s="2" t="s">
        <v>1187</v>
      </c>
      <c r="J1007" s="2" t="s">
        <v>1188</v>
      </c>
      <c r="K1007" s="2"/>
      <c r="L1007" s="2" t="str">
        <f>IFERROR(VLOOKUP(IFERROR(VLOOKUP(C1007,'Destination Alias'!$A:$B,2,FALSE()),C1007),'Best Months'!$A:$B,2,FALSE()),"Not listed")</f>
        <v>Jan–Mar</v>
      </c>
    </row>
    <row r="1008" spans="1:19" x14ac:dyDescent="0.3">
      <c r="A1008" s="2" t="s">
        <v>1186</v>
      </c>
      <c r="B1008" s="2" t="s">
        <v>81</v>
      </c>
      <c r="C1008" s="2" t="s">
        <v>119</v>
      </c>
      <c r="D1008" s="3">
        <v>0.35416666666666702</v>
      </c>
      <c r="E1008" s="3">
        <v>0.52083333333333304</v>
      </c>
      <c r="F1008" s="2" t="s">
        <v>129</v>
      </c>
      <c r="G1008" s="2" t="s">
        <v>16</v>
      </c>
      <c r="H1008" s="2">
        <v>5</v>
      </c>
      <c r="I1008" s="2" t="s">
        <v>1187</v>
      </c>
      <c r="J1008" s="2" t="s">
        <v>1188</v>
      </c>
      <c r="K1008" s="2"/>
      <c r="L1008" s="2" t="str">
        <f>IFERROR(VLOOKUP(IFERROR(VLOOKUP(C1008,'Destination Alias'!$A:$B,2,FALSE()),C1008),'Best Months'!$A:$B,2,FALSE()),"Not listed")</f>
        <v>Jan–Mar</v>
      </c>
    </row>
    <row r="1009" spans="1:19" x14ac:dyDescent="0.3">
      <c r="A1009" s="2" t="s">
        <v>1186</v>
      </c>
      <c r="B1009" s="2" t="s">
        <v>81</v>
      </c>
      <c r="C1009" s="2" t="s">
        <v>119</v>
      </c>
      <c r="D1009" s="3">
        <v>0.41666666666666702</v>
      </c>
      <c r="E1009" s="3">
        <v>0.58333333333333304</v>
      </c>
      <c r="F1009" s="2" t="s">
        <v>129</v>
      </c>
      <c r="G1009" s="2" t="s">
        <v>20</v>
      </c>
      <c r="H1009" s="2">
        <v>5</v>
      </c>
      <c r="I1009" s="2" t="s">
        <v>1187</v>
      </c>
      <c r="J1009" s="2" t="s">
        <v>1188</v>
      </c>
      <c r="K1009" s="2"/>
      <c r="L1009" s="2" t="str">
        <f>IFERROR(VLOOKUP(IFERROR(VLOOKUP(C1009,'Destination Alias'!$A:$B,2,FALSE()),C1009),'Best Months'!$A:$B,2,FALSE()),"Not listed")</f>
        <v>Jan–Mar</v>
      </c>
    </row>
    <row r="1010" spans="1:19" x14ac:dyDescent="0.3">
      <c r="A1010" s="2" t="s">
        <v>1186</v>
      </c>
      <c r="B1010" s="2" t="s">
        <v>81</v>
      </c>
      <c r="C1010" s="2" t="s">
        <v>119</v>
      </c>
      <c r="D1010" s="3">
        <v>0.58333333333333304</v>
      </c>
      <c r="E1010" s="3">
        <v>0.75</v>
      </c>
      <c r="F1010" s="2" t="s">
        <v>129</v>
      </c>
      <c r="G1010" s="2" t="s">
        <v>199</v>
      </c>
      <c r="H1010" s="2">
        <v>5</v>
      </c>
      <c r="I1010" s="2" t="s">
        <v>1187</v>
      </c>
      <c r="J1010" s="2" t="s">
        <v>1188</v>
      </c>
      <c r="K1010" s="2"/>
      <c r="L1010" s="2" t="str">
        <f>IFERROR(VLOOKUP(IFERROR(VLOOKUP(C1010,'Destination Alias'!$A:$B,2,FALSE()),C1010),'Best Months'!$A:$B,2,FALSE()),"Not listed")</f>
        <v>Jan–Mar</v>
      </c>
    </row>
    <row r="1011" spans="1:19" x14ac:dyDescent="0.3">
      <c r="A1011" s="2" t="s">
        <v>1186</v>
      </c>
      <c r="B1011" s="2" t="s">
        <v>81</v>
      </c>
      <c r="C1011" s="2" t="s">
        <v>119</v>
      </c>
      <c r="D1011" s="3">
        <v>0.625</v>
      </c>
      <c r="E1011" s="3">
        <v>0.79166666666666696</v>
      </c>
      <c r="F1011" s="2" t="s">
        <v>129</v>
      </c>
      <c r="G1011" s="2" t="s">
        <v>73</v>
      </c>
      <c r="H1011" s="2">
        <v>4</v>
      </c>
      <c r="I1011" s="2" t="s">
        <v>1187</v>
      </c>
      <c r="J1011" s="2" t="s">
        <v>1188</v>
      </c>
      <c r="K1011" s="2"/>
      <c r="L1011" s="2" t="str">
        <f>IFERROR(VLOOKUP(IFERROR(VLOOKUP(C1011,'Destination Alias'!$A:$B,2,FALSE()),C1011),'Best Months'!$A:$B,2,FALSE()),"Not listed")</f>
        <v>Jan–Mar</v>
      </c>
    </row>
    <row r="1012" spans="1:19" x14ac:dyDescent="0.3">
      <c r="A1012" s="2" t="s">
        <v>1186</v>
      </c>
      <c r="B1012" s="2" t="s">
        <v>81</v>
      </c>
      <c r="C1012" s="2" t="s">
        <v>119</v>
      </c>
      <c r="D1012" s="3">
        <v>0.25</v>
      </c>
      <c r="E1012" s="3">
        <v>0.41666666666666702</v>
      </c>
      <c r="F1012" s="2" t="s">
        <v>129</v>
      </c>
      <c r="G1012" s="2" t="s">
        <v>28</v>
      </c>
      <c r="H1012" s="2">
        <v>4.8</v>
      </c>
      <c r="I1012" s="2" t="s">
        <v>1187</v>
      </c>
      <c r="J1012" s="2" t="s">
        <v>1188</v>
      </c>
      <c r="K1012" s="2"/>
      <c r="L1012" s="2" t="str">
        <f>IFERROR(VLOOKUP(IFERROR(VLOOKUP(C1012,'Destination Alias'!$A:$B,2,FALSE()),C1012),'Best Months'!$A:$B,2,FALSE()),"Not listed")</f>
        <v>Jan–Mar</v>
      </c>
    </row>
    <row r="1013" spans="1:19" x14ac:dyDescent="0.3">
      <c r="A1013" s="2" t="s">
        <v>1189</v>
      </c>
      <c r="B1013" s="2" t="s">
        <v>241</v>
      </c>
      <c r="C1013" s="2" t="s">
        <v>163</v>
      </c>
      <c r="D1013" s="3">
        <v>0.29166666666666702</v>
      </c>
      <c r="E1013" s="3">
        <v>0.5</v>
      </c>
      <c r="F1013" s="2" t="s">
        <v>546</v>
      </c>
      <c r="G1013" s="2" t="s">
        <v>38</v>
      </c>
      <c r="H1013" s="2">
        <v>4.2</v>
      </c>
      <c r="I1013" s="2" t="s">
        <v>1190</v>
      </c>
      <c r="J1013" s="2" t="s">
        <v>1191</v>
      </c>
      <c r="K1013" s="2"/>
      <c r="L1013" s="2" t="str">
        <f>IFERROR(VLOOKUP(IFERROR(VLOOKUP(C1013,'Destination Alias'!$A:$B,2,FALSE()),C1013),'Best Months'!$A:$B,2,FALSE()),"Not listed")</f>
        <v>Dec–Mar</v>
      </c>
    </row>
    <row r="1014" spans="1:19" x14ac:dyDescent="0.3">
      <c r="A1014" s="2" t="s">
        <v>1192</v>
      </c>
      <c r="B1014" s="2" t="s">
        <v>49</v>
      </c>
      <c r="C1014" s="2" t="s">
        <v>40</v>
      </c>
      <c r="D1014" s="3">
        <v>0.33333333333333298</v>
      </c>
      <c r="E1014" s="3">
        <v>0.39583333333333298</v>
      </c>
      <c r="F1014" s="2" t="s">
        <v>15</v>
      </c>
      <c r="G1014" s="2" t="s">
        <v>16</v>
      </c>
      <c r="H1014" s="2">
        <v>4.5999999999999996</v>
      </c>
      <c r="I1014" s="2" t="s">
        <v>1193</v>
      </c>
      <c r="J1014" s="2" t="s">
        <v>1194</v>
      </c>
      <c r="K1014" s="4" t="s">
        <v>1195</v>
      </c>
      <c r="L1014" s="2" t="str">
        <f>IFERROR(VLOOKUP(IFERROR(VLOOKUP(C1014,'Destination Alias'!$A:$B,2,FALSE()),C1014),'Best Months'!$A:$B,2,FALSE()),"Not listed")</f>
        <v>Jan–Mar, Jul–Aug</v>
      </c>
      <c r="S1014" t="s">
        <v>1195</v>
      </c>
    </row>
    <row r="1015" spans="1:19" x14ac:dyDescent="0.3">
      <c r="A1015" s="2" t="s">
        <v>1192</v>
      </c>
      <c r="B1015" s="2" t="s">
        <v>49</v>
      </c>
      <c r="C1015" s="2" t="s">
        <v>40</v>
      </c>
      <c r="D1015" s="3">
        <v>0.39583333333333298</v>
      </c>
      <c r="E1015" s="3">
        <v>0.45833333333333298</v>
      </c>
      <c r="F1015" s="2" t="s">
        <v>15</v>
      </c>
      <c r="G1015" s="2" t="s">
        <v>20</v>
      </c>
      <c r="H1015" s="2">
        <v>4.5999999999999996</v>
      </c>
      <c r="I1015" s="2" t="s">
        <v>1193</v>
      </c>
      <c r="J1015" s="2" t="s">
        <v>1194</v>
      </c>
      <c r="K1015" s="4" t="s">
        <v>1195</v>
      </c>
      <c r="L1015" s="2" t="str">
        <f>IFERROR(VLOOKUP(IFERROR(VLOOKUP(C1015,'Destination Alias'!$A:$B,2,FALSE()),C1015),'Best Months'!$A:$B,2,FALSE()),"Not listed")</f>
        <v>Jan–Mar, Jul–Aug</v>
      </c>
      <c r="S1015" t="s">
        <v>1195</v>
      </c>
    </row>
    <row r="1016" spans="1:19" x14ac:dyDescent="0.3">
      <c r="A1016" s="2" t="s">
        <v>1196</v>
      </c>
      <c r="B1016" s="2" t="s">
        <v>13</v>
      </c>
      <c r="C1016" s="2" t="s">
        <v>213</v>
      </c>
      <c r="D1016" s="3">
        <v>0.3125</v>
      </c>
      <c r="E1016" s="3">
        <v>0.34375</v>
      </c>
      <c r="F1016" s="2" t="s">
        <v>90</v>
      </c>
      <c r="G1016" s="2" t="s">
        <v>38</v>
      </c>
      <c r="H1016" s="2">
        <v>4</v>
      </c>
      <c r="I1016" s="2" t="s">
        <v>1197</v>
      </c>
      <c r="J1016" s="2" t="s">
        <v>1198</v>
      </c>
      <c r="K1016" s="4" t="s">
        <v>1199</v>
      </c>
      <c r="L1016" s="2" t="str">
        <f>IFERROR(VLOOKUP(IFERROR(VLOOKUP(C1016,'Destination Alias'!$A:$B,2,FALSE()),C1016),'Best Months'!$A:$B,2,FALSE()),"Not listed")</f>
        <v>Jan–Mar</v>
      </c>
      <c r="S1016" t="s">
        <v>1199</v>
      </c>
    </row>
    <row r="1017" spans="1:19" x14ac:dyDescent="0.3">
      <c r="A1017" s="2" t="s">
        <v>1196</v>
      </c>
      <c r="B1017" s="2" t="s">
        <v>13</v>
      </c>
      <c r="C1017" s="2" t="s">
        <v>213</v>
      </c>
      <c r="D1017" s="3">
        <v>0.34375</v>
      </c>
      <c r="E1017" s="3">
        <v>0.375</v>
      </c>
      <c r="F1017" s="2" t="s">
        <v>90</v>
      </c>
      <c r="G1017" s="2" t="s">
        <v>16</v>
      </c>
      <c r="H1017" s="2">
        <v>4</v>
      </c>
      <c r="I1017" s="2" t="s">
        <v>1197</v>
      </c>
      <c r="J1017" s="2" t="s">
        <v>1198</v>
      </c>
      <c r="K1017" s="4" t="s">
        <v>1199</v>
      </c>
      <c r="L1017" s="2" t="str">
        <f>IFERROR(VLOOKUP(IFERROR(VLOOKUP(C1017,'Destination Alias'!$A:$B,2,FALSE()),C1017),'Best Months'!$A:$B,2,FALSE()),"Not listed")</f>
        <v>Jan–Mar</v>
      </c>
      <c r="S1017" t="s">
        <v>1199</v>
      </c>
    </row>
    <row r="1018" spans="1:19" x14ac:dyDescent="0.3">
      <c r="A1018" s="2" t="s">
        <v>1196</v>
      </c>
      <c r="B1018" s="2" t="s">
        <v>13</v>
      </c>
      <c r="C1018" s="2" t="s">
        <v>213</v>
      </c>
      <c r="D1018" s="3">
        <v>0.375</v>
      </c>
      <c r="E1018" s="3">
        <v>0.40625</v>
      </c>
      <c r="F1018" s="2" t="s">
        <v>90</v>
      </c>
      <c r="G1018" s="2" t="s">
        <v>20</v>
      </c>
      <c r="H1018" s="2">
        <v>4</v>
      </c>
      <c r="I1018" s="2" t="s">
        <v>1197</v>
      </c>
      <c r="J1018" s="2" t="s">
        <v>1198</v>
      </c>
      <c r="K1018" s="4" t="s">
        <v>1199</v>
      </c>
      <c r="L1018" s="2" t="str">
        <f>IFERROR(VLOOKUP(IFERROR(VLOOKUP(C1018,'Destination Alias'!$A:$B,2,FALSE()),C1018),'Best Months'!$A:$B,2,FALSE()),"Not listed")</f>
        <v>Jan–Mar</v>
      </c>
      <c r="S1018" t="s">
        <v>1199</v>
      </c>
    </row>
    <row r="1019" spans="1:19" x14ac:dyDescent="0.3">
      <c r="A1019" s="2" t="s">
        <v>1196</v>
      </c>
      <c r="B1019" s="2" t="s">
        <v>13</v>
      </c>
      <c r="C1019" s="2" t="s">
        <v>213</v>
      </c>
      <c r="D1019" s="3">
        <v>0.40625</v>
      </c>
      <c r="E1019" s="3">
        <v>0.4375</v>
      </c>
      <c r="F1019" s="2" t="s">
        <v>90</v>
      </c>
      <c r="G1019" s="2" t="s">
        <v>20</v>
      </c>
      <c r="H1019" s="2">
        <v>4</v>
      </c>
      <c r="I1019" s="2" t="s">
        <v>1197</v>
      </c>
      <c r="J1019" s="2" t="s">
        <v>1198</v>
      </c>
      <c r="K1019" s="4" t="s">
        <v>1199</v>
      </c>
      <c r="L1019" s="2" t="str">
        <f>IFERROR(VLOOKUP(IFERROR(VLOOKUP(C1019,'Destination Alias'!$A:$B,2,FALSE()),C1019),'Best Months'!$A:$B,2,FALSE()),"Not listed")</f>
        <v>Jan–Mar</v>
      </c>
      <c r="S1019" t="s">
        <v>1199</v>
      </c>
    </row>
    <row r="1020" spans="1:19" x14ac:dyDescent="0.3">
      <c r="A1020" s="2" t="s">
        <v>1200</v>
      </c>
      <c r="B1020" s="2" t="s">
        <v>49</v>
      </c>
      <c r="C1020" s="2" t="s">
        <v>40</v>
      </c>
      <c r="D1020" s="3">
        <v>0.27083333333333298</v>
      </c>
      <c r="E1020" s="3">
        <v>0.33333333333333298</v>
      </c>
      <c r="F1020" s="2" t="s">
        <v>15</v>
      </c>
      <c r="G1020" s="2" t="s">
        <v>28</v>
      </c>
      <c r="H1020" s="2">
        <v>5</v>
      </c>
      <c r="I1020" s="2" t="s">
        <v>1201</v>
      </c>
      <c r="J1020" s="2" t="s">
        <v>1202</v>
      </c>
      <c r="K1020" s="4" t="s">
        <v>1203</v>
      </c>
      <c r="L1020" s="2" t="str">
        <f>IFERROR(VLOOKUP(IFERROR(VLOOKUP(C1020,'Destination Alias'!$A:$B,2,FALSE()),C1020),'Best Months'!$A:$B,2,FALSE()),"Not listed")</f>
        <v>Jan–Mar, Jul–Aug</v>
      </c>
      <c r="S1020" t="s">
        <v>1203</v>
      </c>
    </row>
    <row r="1021" spans="1:19" x14ac:dyDescent="0.3">
      <c r="A1021" s="2" t="s">
        <v>1200</v>
      </c>
      <c r="B1021" s="2" t="s">
        <v>49</v>
      </c>
      <c r="C1021" s="2" t="s">
        <v>40</v>
      </c>
      <c r="D1021" s="3">
        <v>0.3125</v>
      </c>
      <c r="E1021" s="3">
        <v>0.375</v>
      </c>
      <c r="F1021" s="2" t="s">
        <v>15</v>
      </c>
      <c r="G1021" s="2" t="s">
        <v>38</v>
      </c>
      <c r="H1021" s="2">
        <v>3</v>
      </c>
      <c r="I1021" s="2" t="s">
        <v>1201</v>
      </c>
      <c r="J1021" s="2" t="s">
        <v>1202</v>
      </c>
      <c r="K1021" s="4" t="s">
        <v>1203</v>
      </c>
      <c r="L1021" s="2" t="str">
        <f>IFERROR(VLOOKUP(IFERROR(VLOOKUP(C1021,'Destination Alias'!$A:$B,2,FALSE()),C1021),'Best Months'!$A:$B,2,FALSE()),"Not listed")</f>
        <v>Jan–Mar, Jul–Aug</v>
      </c>
      <c r="S1021" t="s">
        <v>1203</v>
      </c>
    </row>
    <row r="1022" spans="1:19" x14ac:dyDescent="0.3">
      <c r="A1022" s="2" t="s">
        <v>1200</v>
      </c>
      <c r="B1022" s="2" t="s">
        <v>49</v>
      </c>
      <c r="C1022" s="2" t="s">
        <v>40</v>
      </c>
      <c r="D1022" s="3">
        <v>0.33333333333333298</v>
      </c>
      <c r="E1022" s="3">
        <v>0.39583333333333298</v>
      </c>
      <c r="F1022" s="2" t="s">
        <v>15</v>
      </c>
      <c r="G1022" s="2" t="s">
        <v>16</v>
      </c>
      <c r="H1022" s="2">
        <v>5</v>
      </c>
      <c r="I1022" s="2" t="s">
        <v>1201</v>
      </c>
      <c r="J1022" s="2" t="s">
        <v>1202</v>
      </c>
      <c r="K1022" s="4" t="s">
        <v>1203</v>
      </c>
      <c r="L1022" s="2" t="str">
        <f>IFERROR(VLOOKUP(IFERROR(VLOOKUP(C1022,'Destination Alias'!$A:$B,2,FALSE()),C1022),'Best Months'!$A:$B,2,FALSE()),"Not listed")</f>
        <v>Jan–Mar, Jul–Aug</v>
      </c>
      <c r="S1022" t="s">
        <v>1203</v>
      </c>
    </row>
    <row r="1023" spans="1:19" x14ac:dyDescent="0.3">
      <c r="A1023" s="2" t="s">
        <v>1200</v>
      </c>
      <c r="B1023" s="2" t="s">
        <v>49</v>
      </c>
      <c r="C1023" s="2" t="s">
        <v>40</v>
      </c>
      <c r="D1023" s="3">
        <v>0.35416666666666702</v>
      </c>
      <c r="E1023" s="3">
        <v>0.41666666666666702</v>
      </c>
      <c r="F1023" s="2" t="s">
        <v>15</v>
      </c>
      <c r="G1023" s="2" t="s">
        <v>16</v>
      </c>
      <c r="H1023" s="2">
        <v>5</v>
      </c>
      <c r="I1023" s="2" t="s">
        <v>1201</v>
      </c>
      <c r="J1023" s="2" t="s">
        <v>1202</v>
      </c>
      <c r="K1023" s="4" t="s">
        <v>1203</v>
      </c>
      <c r="L1023" s="2" t="str">
        <f>IFERROR(VLOOKUP(IFERROR(VLOOKUP(C1023,'Destination Alias'!$A:$B,2,FALSE()),C1023),'Best Months'!$A:$B,2,FALSE()),"Not listed")</f>
        <v>Jan–Mar, Jul–Aug</v>
      </c>
      <c r="S1023" t="s">
        <v>1203</v>
      </c>
    </row>
    <row r="1024" spans="1:19" x14ac:dyDescent="0.3">
      <c r="A1024" s="2" t="s">
        <v>1200</v>
      </c>
      <c r="B1024" s="2" t="s">
        <v>49</v>
      </c>
      <c r="C1024" s="2" t="s">
        <v>40</v>
      </c>
      <c r="D1024" s="3">
        <v>0.375</v>
      </c>
      <c r="E1024" s="3">
        <v>0.4375</v>
      </c>
      <c r="F1024" s="2" t="s">
        <v>15</v>
      </c>
      <c r="G1024" s="2" t="s">
        <v>20</v>
      </c>
      <c r="H1024" s="2">
        <v>5</v>
      </c>
      <c r="I1024" s="2" t="s">
        <v>1201</v>
      </c>
      <c r="J1024" s="2" t="s">
        <v>1202</v>
      </c>
      <c r="K1024" s="4" t="s">
        <v>1203</v>
      </c>
      <c r="L1024" s="2" t="str">
        <f>IFERROR(VLOOKUP(IFERROR(VLOOKUP(C1024,'Destination Alias'!$A:$B,2,FALSE()),C1024),'Best Months'!$A:$B,2,FALSE()),"Not listed")</f>
        <v>Jan–Mar, Jul–Aug</v>
      </c>
      <c r="S1024" t="s">
        <v>1203</v>
      </c>
    </row>
    <row r="1025" spans="1:19" x14ac:dyDescent="0.3">
      <c r="A1025" s="2" t="s">
        <v>1200</v>
      </c>
      <c r="B1025" s="2" t="s">
        <v>49</v>
      </c>
      <c r="C1025" s="2" t="s">
        <v>40</v>
      </c>
      <c r="D1025" s="3">
        <v>0.39583333333333298</v>
      </c>
      <c r="E1025" s="3">
        <v>0.45833333333333298</v>
      </c>
      <c r="F1025" s="2" t="s">
        <v>15</v>
      </c>
      <c r="G1025" s="2" t="s">
        <v>20</v>
      </c>
      <c r="H1025" s="2">
        <v>5</v>
      </c>
      <c r="I1025" s="2" t="s">
        <v>1201</v>
      </c>
      <c r="J1025" s="2" t="s">
        <v>1202</v>
      </c>
      <c r="K1025" s="4" t="s">
        <v>1203</v>
      </c>
      <c r="L1025" s="2" t="str">
        <f>IFERROR(VLOOKUP(IFERROR(VLOOKUP(C1025,'Destination Alias'!$A:$B,2,FALSE()),C1025),'Best Months'!$A:$B,2,FALSE()),"Not listed")</f>
        <v>Jan–Mar, Jul–Aug</v>
      </c>
      <c r="S1025" t="s">
        <v>1203</v>
      </c>
    </row>
    <row r="1026" spans="1:19" x14ac:dyDescent="0.3">
      <c r="A1026" s="2" t="s">
        <v>1200</v>
      </c>
      <c r="B1026" s="2" t="s">
        <v>49</v>
      </c>
      <c r="C1026" s="2" t="s">
        <v>40</v>
      </c>
      <c r="D1026" s="3">
        <v>0.4375</v>
      </c>
      <c r="E1026" s="3">
        <v>0.5</v>
      </c>
      <c r="F1026" s="2" t="s">
        <v>15</v>
      </c>
      <c r="G1026" s="2" t="s">
        <v>20</v>
      </c>
      <c r="H1026" s="2">
        <v>5</v>
      </c>
      <c r="I1026" s="2" t="s">
        <v>1201</v>
      </c>
      <c r="J1026" s="2" t="s">
        <v>1202</v>
      </c>
      <c r="K1026" s="4" t="s">
        <v>1203</v>
      </c>
      <c r="L1026" s="2" t="str">
        <f>IFERROR(VLOOKUP(IFERROR(VLOOKUP(C1026,'Destination Alias'!$A:$B,2,FALSE()),C1026),'Best Months'!$A:$B,2,FALSE()),"Not listed")</f>
        <v>Jan–Mar, Jul–Aug</v>
      </c>
      <c r="S1026" t="s">
        <v>1203</v>
      </c>
    </row>
    <row r="1027" spans="1:19" x14ac:dyDescent="0.3">
      <c r="A1027" s="2" t="s">
        <v>1200</v>
      </c>
      <c r="B1027" s="2" t="s">
        <v>49</v>
      </c>
      <c r="C1027" s="2" t="s">
        <v>40</v>
      </c>
      <c r="D1027" s="3">
        <v>0.45833333333333298</v>
      </c>
      <c r="E1027" s="3">
        <v>0.52083333333333304</v>
      </c>
      <c r="F1027" s="2" t="s">
        <v>15</v>
      </c>
      <c r="G1027" s="2" t="s">
        <v>220</v>
      </c>
      <c r="H1027" s="2">
        <v>5</v>
      </c>
      <c r="I1027" s="2" t="s">
        <v>1201</v>
      </c>
      <c r="J1027" s="2" t="s">
        <v>1202</v>
      </c>
      <c r="K1027" s="4" t="s">
        <v>1203</v>
      </c>
      <c r="L1027" s="2" t="str">
        <f>IFERROR(VLOOKUP(IFERROR(VLOOKUP(C1027,'Destination Alias'!$A:$B,2,FALSE()),C1027),'Best Months'!$A:$B,2,FALSE()),"Not listed")</f>
        <v>Jan–Mar, Jul–Aug</v>
      </c>
      <c r="S1027" t="s">
        <v>1203</v>
      </c>
    </row>
    <row r="1028" spans="1:19" x14ac:dyDescent="0.3">
      <c r="A1028" s="2" t="s">
        <v>1200</v>
      </c>
      <c r="B1028" s="2" t="s">
        <v>49</v>
      </c>
      <c r="C1028" s="2" t="s">
        <v>40</v>
      </c>
      <c r="D1028" s="3">
        <v>0.47916666666666702</v>
      </c>
      <c r="E1028" s="3">
        <v>0.54166666666666696</v>
      </c>
      <c r="F1028" s="2" t="s">
        <v>15</v>
      </c>
      <c r="G1028" s="2" t="s">
        <v>220</v>
      </c>
      <c r="H1028" s="2">
        <v>4</v>
      </c>
      <c r="I1028" s="2" t="s">
        <v>1201</v>
      </c>
      <c r="J1028" s="2" t="s">
        <v>1202</v>
      </c>
      <c r="K1028" s="4" t="s">
        <v>1203</v>
      </c>
      <c r="L1028" s="2" t="str">
        <f>IFERROR(VLOOKUP(IFERROR(VLOOKUP(C1028,'Destination Alias'!$A:$B,2,FALSE()),C1028),'Best Months'!$A:$B,2,FALSE()),"Not listed")</f>
        <v>Jan–Mar, Jul–Aug</v>
      </c>
      <c r="S1028" t="s">
        <v>1203</v>
      </c>
    </row>
    <row r="1029" spans="1:19" x14ac:dyDescent="0.3">
      <c r="A1029" s="2" t="s">
        <v>1200</v>
      </c>
      <c r="B1029" s="2" t="s">
        <v>49</v>
      </c>
      <c r="C1029" s="2" t="s">
        <v>40</v>
      </c>
      <c r="D1029" s="3">
        <v>0.5</v>
      </c>
      <c r="E1029" s="3">
        <v>0.5625</v>
      </c>
      <c r="F1029" s="2" t="s">
        <v>15</v>
      </c>
      <c r="G1029" s="2" t="s">
        <v>220</v>
      </c>
      <c r="H1029" s="2">
        <v>5</v>
      </c>
      <c r="I1029" s="2" t="s">
        <v>1201</v>
      </c>
      <c r="J1029" s="2" t="s">
        <v>1202</v>
      </c>
      <c r="K1029" s="4" t="s">
        <v>1203</v>
      </c>
      <c r="L1029" s="2" t="str">
        <f>IFERROR(VLOOKUP(IFERROR(VLOOKUP(C1029,'Destination Alias'!$A:$B,2,FALSE()),C1029),'Best Months'!$A:$B,2,FALSE()),"Not listed")</f>
        <v>Jan–Mar, Jul–Aug</v>
      </c>
      <c r="S1029" t="s">
        <v>1203</v>
      </c>
    </row>
    <row r="1030" spans="1:19" x14ac:dyDescent="0.3">
      <c r="A1030" s="2" t="s">
        <v>1200</v>
      </c>
      <c r="B1030" s="2" t="s">
        <v>49</v>
      </c>
      <c r="C1030" s="2" t="s">
        <v>40</v>
      </c>
      <c r="D1030" s="3">
        <v>0.5</v>
      </c>
      <c r="E1030" s="3">
        <v>0.5625</v>
      </c>
      <c r="F1030" s="2" t="s">
        <v>15</v>
      </c>
      <c r="G1030" s="2" t="s">
        <v>220</v>
      </c>
      <c r="H1030" s="2">
        <v>5</v>
      </c>
      <c r="I1030" s="2" t="s">
        <v>1201</v>
      </c>
      <c r="J1030" s="2" t="s">
        <v>1202</v>
      </c>
      <c r="K1030" s="4" t="s">
        <v>1203</v>
      </c>
      <c r="L1030" s="2" t="str">
        <f>IFERROR(VLOOKUP(IFERROR(VLOOKUP(C1030,'Destination Alias'!$A:$B,2,FALSE()),C1030),'Best Months'!$A:$B,2,FALSE()),"Not listed")</f>
        <v>Jan–Mar, Jul–Aug</v>
      </c>
      <c r="S1030" t="s">
        <v>1203</v>
      </c>
    </row>
    <row r="1031" spans="1:19" x14ac:dyDescent="0.3">
      <c r="A1031" s="2" t="s">
        <v>1200</v>
      </c>
      <c r="B1031" s="2" t="s">
        <v>49</v>
      </c>
      <c r="C1031" s="2" t="s">
        <v>40</v>
      </c>
      <c r="D1031" s="3">
        <v>0.59375</v>
      </c>
      <c r="E1031" s="3">
        <v>0.65625</v>
      </c>
      <c r="F1031" s="2" t="s">
        <v>15</v>
      </c>
      <c r="G1031" s="2" t="s">
        <v>199</v>
      </c>
      <c r="H1031" s="2">
        <v>5</v>
      </c>
      <c r="I1031" s="2" t="s">
        <v>1201</v>
      </c>
      <c r="J1031" s="2" t="s">
        <v>1202</v>
      </c>
      <c r="K1031" s="4" t="s">
        <v>1203</v>
      </c>
      <c r="L1031" s="2" t="str">
        <f>IFERROR(VLOOKUP(IFERROR(VLOOKUP(C1031,'Destination Alias'!$A:$B,2,FALSE()),C1031),'Best Months'!$A:$B,2,FALSE()),"Not listed")</f>
        <v>Jan–Mar, Jul–Aug</v>
      </c>
      <c r="S1031" t="s">
        <v>1203</v>
      </c>
    </row>
    <row r="1032" spans="1:19" x14ac:dyDescent="0.3">
      <c r="A1032" s="2" t="s">
        <v>1200</v>
      </c>
      <c r="B1032" s="2" t="s">
        <v>49</v>
      </c>
      <c r="C1032" s="2" t="s">
        <v>40</v>
      </c>
      <c r="D1032" s="3">
        <v>0.625</v>
      </c>
      <c r="E1032" s="3">
        <v>0.6875</v>
      </c>
      <c r="F1032" s="2" t="s">
        <v>15</v>
      </c>
      <c r="G1032" s="2" t="s">
        <v>73</v>
      </c>
      <c r="H1032" s="2">
        <v>3</v>
      </c>
      <c r="I1032" s="2" t="s">
        <v>1201</v>
      </c>
      <c r="J1032" s="2" t="s">
        <v>1202</v>
      </c>
      <c r="K1032" s="4" t="s">
        <v>1203</v>
      </c>
      <c r="L1032" s="2" t="str">
        <f>IFERROR(VLOOKUP(IFERROR(VLOOKUP(C1032,'Destination Alias'!$A:$B,2,FALSE()),C1032),'Best Months'!$A:$B,2,FALSE()),"Not listed")</f>
        <v>Jan–Mar, Jul–Aug</v>
      </c>
      <c r="S1032" t="s">
        <v>1203</v>
      </c>
    </row>
    <row r="1033" spans="1:19" x14ac:dyDescent="0.3">
      <c r="A1033" s="2" t="s">
        <v>1200</v>
      </c>
      <c r="B1033" s="2" t="s">
        <v>49</v>
      </c>
      <c r="C1033" s="2" t="s">
        <v>40</v>
      </c>
      <c r="D1033" s="3">
        <v>0.66666666666666696</v>
      </c>
      <c r="E1033" s="3">
        <v>0.72916666666666696</v>
      </c>
      <c r="F1033" s="2" t="s">
        <v>15</v>
      </c>
      <c r="G1033" s="2" t="s">
        <v>73</v>
      </c>
      <c r="H1033" s="2">
        <v>2</v>
      </c>
      <c r="I1033" s="2" t="s">
        <v>1201</v>
      </c>
      <c r="J1033" s="2" t="s">
        <v>1202</v>
      </c>
      <c r="K1033" s="4" t="s">
        <v>1203</v>
      </c>
      <c r="L1033" s="2" t="str">
        <f>IFERROR(VLOOKUP(IFERROR(VLOOKUP(C1033,'Destination Alias'!$A:$B,2,FALSE()),C1033),'Best Months'!$A:$B,2,FALSE()),"Not listed")</f>
        <v>Jan–Mar, Jul–Aug</v>
      </c>
      <c r="S1033" t="s">
        <v>1203</v>
      </c>
    </row>
    <row r="1034" spans="1:19" x14ac:dyDescent="0.3">
      <c r="A1034" s="2" t="s">
        <v>1200</v>
      </c>
      <c r="B1034" s="2" t="s">
        <v>49</v>
      </c>
      <c r="C1034" s="2" t="s">
        <v>40</v>
      </c>
      <c r="D1034" s="3">
        <v>0.75</v>
      </c>
      <c r="E1034" s="3">
        <v>0.8125</v>
      </c>
      <c r="F1034" s="2" t="s">
        <v>15</v>
      </c>
      <c r="G1034" s="2" t="s">
        <v>102</v>
      </c>
      <c r="H1034" s="2">
        <v>5</v>
      </c>
      <c r="I1034" s="2" t="s">
        <v>1201</v>
      </c>
      <c r="J1034" s="2" t="s">
        <v>1202</v>
      </c>
      <c r="K1034" s="4" t="s">
        <v>1203</v>
      </c>
      <c r="L1034" s="2" t="str">
        <f>IFERROR(VLOOKUP(IFERROR(VLOOKUP(C1034,'Destination Alias'!$A:$B,2,FALSE()),C1034),'Best Months'!$A:$B,2,FALSE()),"Not listed")</f>
        <v>Jan–Mar, Jul–Aug</v>
      </c>
      <c r="S1034" t="s">
        <v>1203</v>
      </c>
    </row>
    <row r="1035" spans="1:19" x14ac:dyDescent="0.3">
      <c r="A1035" s="2" t="s">
        <v>1200</v>
      </c>
      <c r="B1035" s="2" t="s">
        <v>49</v>
      </c>
      <c r="C1035" s="2" t="s">
        <v>40</v>
      </c>
      <c r="D1035" s="3">
        <v>0.35416666666666702</v>
      </c>
      <c r="E1035" s="3">
        <v>0.41666666666666702</v>
      </c>
      <c r="F1035" s="2" t="s">
        <v>15</v>
      </c>
      <c r="G1035" s="2" t="s">
        <v>16</v>
      </c>
      <c r="H1035" s="2">
        <v>4.5999999999999996</v>
      </c>
      <c r="I1035" s="2" t="s">
        <v>1201</v>
      </c>
      <c r="J1035" s="2" t="s">
        <v>1202</v>
      </c>
      <c r="K1035" s="4" t="s">
        <v>1203</v>
      </c>
      <c r="L1035" s="2" t="str">
        <f>IFERROR(VLOOKUP(IFERROR(VLOOKUP(C1035,'Destination Alias'!$A:$B,2,FALSE()),C1035),'Best Months'!$A:$B,2,FALSE()),"Not listed")</f>
        <v>Jan–Mar, Jul–Aug</v>
      </c>
      <c r="S1035" t="s">
        <v>1203</v>
      </c>
    </row>
    <row r="1036" spans="1:19" x14ac:dyDescent="0.3">
      <c r="A1036" s="2" t="s">
        <v>1200</v>
      </c>
      <c r="B1036" s="2" t="s">
        <v>49</v>
      </c>
      <c r="C1036" s="2" t="s">
        <v>40</v>
      </c>
      <c r="D1036" s="3">
        <v>0.41666666666666702</v>
      </c>
      <c r="E1036" s="3">
        <v>0.47916666666666702</v>
      </c>
      <c r="F1036" s="2" t="s">
        <v>15</v>
      </c>
      <c r="G1036" s="2" t="s">
        <v>20</v>
      </c>
      <c r="H1036" s="2">
        <v>4.5999999999999996</v>
      </c>
      <c r="I1036" s="2" t="s">
        <v>1201</v>
      </c>
      <c r="J1036" s="2" t="s">
        <v>1202</v>
      </c>
      <c r="K1036" s="4" t="s">
        <v>1203</v>
      </c>
      <c r="L1036" s="2" t="str">
        <f>IFERROR(VLOOKUP(IFERROR(VLOOKUP(C1036,'Destination Alias'!$A:$B,2,FALSE()),C1036),'Best Months'!$A:$B,2,FALSE()),"Not listed")</f>
        <v>Jan–Mar, Jul–Aug</v>
      </c>
      <c r="S1036" t="s">
        <v>1203</v>
      </c>
    </row>
    <row r="1037" spans="1:19" x14ac:dyDescent="0.3">
      <c r="A1037" s="2" t="s">
        <v>1204</v>
      </c>
      <c r="B1037" s="2" t="s">
        <v>49</v>
      </c>
      <c r="C1037" s="2" t="s">
        <v>108</v>
      </c>
      <c r="D1037" s="3">
        <v>0.66666666666666696</v>
      </c>
      <c r="E1037" s="3">
        <v>0.70833333333333304</v>
      </c>
      <c r="F1037" s="2" t="s">
        <v>35</v>
      </c>
      <c r="G1037" s="2" t="s">
        <v>73</v>
      </c>
      <c r="H1037" s="2">
        <v>4.5</v>
      </c>
      <c r="I1037" s="2" t="s">
        <v>1205</v>
      </c>
      <c r="J1037" s="2" t="s">
        <v>1206</v>
      </c>
      <c r="K1037" s="4" t="s">
        <v>1207</v>
      </c>
      <c r="L1037" s="2" t="str">
        <f>IFERROR(VLOOKUP(IFERROR(VLOOKUP(C1037,'Destination Alias'!$A:$B,2,FALSE()),C1037),'Best Months'!$A:$B,2,FALSE()),"Not listed")</f>
        <v>Jan–Mar, Jul–Aug</v>
      </c>
      <c r="S1037" t="s">
        <v>1207</v>
      </c>
    </row>
    <row r="1038" spans="1:19" x14ac:dyDescent="0.3">
      <c r="A1038" s="2" t="s">
        <v>1204</v>
      </c>
      <c r="B1038" s="2" t="s">
        <v>49</v>
      </c>
      <c r="C1038" s="2" t="s">
        <v>108</v>
      </c>
      <c r="D1038" s="3">
        <v>0.70833333333333304</v>
      </c>
      <c r="E1038" s="3">
        <v>0.75</v>
      </c>
      <c r="F1038" s="2" t="s">
        <v>35</v>
      </c>
      <c r="G1038" s="2" t="s">
        <v>52</v>
      </c>
      <c r="H1038" s="2">
        <v>4.5</v>
      </c>
      <c r="I1038" s="2" t="s">
        <v>1205</v>
      </c>
      <c r="J1038" s="2" t="s">
        <v>1206</v>
      </c>
      <c r="K1038" s="4" t="s">
        <v>1207</v>
      </c>
      <c r="L1038" s="2" t="str">
        <f>IFERROR(VLOOKUP(IFERROR(VLOOKUP(C1038,'Destination Alias'!$A:$B,2,FALSE()),C1038),'Best Months'!$A:$B,2,FALSE()),"Not listed")</f>
        <v>Jan–Mar, Jul–Aug</v>
      </c>
      <c r="S1038" t="s">
        <v>1207</v>
      </c>
    </row>
    <row r="1039" spans="1:19" x14ac:dyDescent="0.3">
      <c r="A1039" s="2" t="s">
        <v>1208</v>
      </c>
      <c r="B1039" s="2" t="s">
        <v>13</v>
      </c>
      <c r="C1039" s="2" t="s">
        <v>297</v>
      </c>
      <c r="D1039" s="3">
        <v>0.27083333333333298</v>
      </c>
      <c r="E1039" s="3">
        <v>0.33333333333333298</v>
      </c>
      <c r="F1039" s="2" t="s">
        <v>15</v>
      </c>
      <c r="G1039" s="2" t="s">
        <v>28</v>
      </c>
      <c r="H1039" s="2">
        <v>4</v>
      </c>
      <c r="I1039" s="2" t="s">
        <v>1209</v>
      </c>
      <c r="J1039" s="2" t="s">
        <v>1210</v>
      </c>
      <c r="K1039" s="2"/>
      <c r="L1039" s="2" t="str">
        <f>IFERROR(VLOOKUP(IFERROR(VLOOKUP(C1039,'Destination Alias'!$A:$B,2,FALSE()),C1039),'Best Months'!$A:$B,2,FALSE()),"Not listed")</f>
        <v>Jan–Mar, Jul–Aug</v>
      </c>
    </row>
    <row r="1040" spans="1:19" x14ac:dyDescent="0.3">
      <c r="A1040" s="2" t="s">
        <v>1208</v>
      </c>
      <c r="B1040" s="2" t="s">
        <v>13</v>
      </c>
      <c r="C1040" s="2" t="s">
        <v>297</v>
      </c>
      <c r="D1040" s="3">
        <v>0.29166666666666702</v>
      </c>
      <c r="E1040" s="3">
        <v>0.35416666666666702</v>
      </c>
      <c r="F1040" s="2" t="s">
        <v>15</v>
      </c>
      <c r="G1040" s="2" t="s">
        <v>38</v>
      </c>
      <c r="H1040" s="2">
        <v>5</v>
      </c>
      <c r="I1040" s="2" t="s">
        <v>1209</v>
      </c>
      <c r="J1040" s="2" t="s">
        <v>1210</v>
      </c>
      <c r="K1040" s="2"/>
      <c r="L1040" s="2" t="str">
        <f>IFERROR(VLOOKUP(IFERROR(VLOOKUP(C1040,'Destination Alias'!$A:$B,2,FALSE()),C1040),'Best Months'!$A:$B,2,FALSE()),"Not listed")</f>
        <v>Jan–Mar, Jul–Aug</v>
      </c>
    </row>
    <row r="1041" spans="1:12" x14ac:dyDescent="0.3">
      <c r="A1041" s="2" t="s">
        <v>1208</v>
      </c>
      <c r="B1041" s="2" t="s">
        <v>13</v>
      </c>
      <c r="C1041" s="2" t="s">
        <v>297</v>
      </c>
      <c r="D1041" s="3">
        <v>0.29861111111111099</v>
      </c>
      <c r="E1041" s="3">
        <v>0.36111111111111099</v>
      </c>
      <c r="F1041" s="2" t="s">
        <v>15</v>
      </c>
      <c r="G1041" s="2" t="s">
        <v>38</v>
      </c>
      <c r="H1041" s="2">
        <v>1</v>
      </c>
      <c r="I1041" s="2" t="s">
        <v>1209</v>
      </c>
      <c r="J1041" s="2" t="s">
        <v>1210</v>
      </c>
      <c r="K1041" s="2"/>
      <c r="L1041" s="2" t="str">
        <f>IFERROR(VLOOKUP(IFERROR(VLOOKUP(C1041,'Destination Alias'!$A:$B,2,FALSE()),C1041),'Best Months'!$A:$B,2,FALSE()),"Not listed")</f>
        <v>Jan–Mar, Jul–Aug</v>
      </c>
    </row>
    <row r="1042" spans="1:12" x14ac:dyDescent="0.3">
      <c r="A1042" s="2" t="s">
        <v>1208</v>
      </c>
      <c r="B1042" s="2" t="s">
        <v>13</v>
      </c>
      <c r="C1042" s="2" t="s">
        <v>297</v>
      </c>
      <c r="D1042" s="3">
        <v>0.35416666666666702</v>
      </c>
      <c r="E1042" s="3">
        <v>0.41666666666666702</v>
      </c>
      <c r="F1042" s="2" t="s">
        <v>15</v>
      </c>
      <c r="G1042" s="2" t="s">
        <v>16</v>
      </c>
      <c r="H1042" s="2">
        <v>4</v>
      </c>
      <c r="I1042" s="2" t="s">
        <v>1209</v>
      </c>
      <c r="J1042" s="2" t="s">
        <v>1210</v>
      </c>
      <c r="K1042" s="2"/>
      <c r="L1042" s="2" t="str">
        <f>IFERROR(VLOOKUP(IFERROR(VLOOKUP(C1042,'Destination Alias'!$A:$B,2,FALSE()),C1042),'Best Months'!$A:$B,2,FALSE()),"Not listed")</f>
        <v>Jan–Mar, Jul–Aug</v>
      </c>
    </row>
    <row r="1043" spans="1:12" x14ac:dyDescent="0.3">
      <c r="A1043" s="2" t="s">
        <v>1208</v>
      </c>
      <c r="B1043" s="2" t="s">
        <v>13</v>
      </c>
      <c r="C1043" s="2" t="s">
        <v>297</v>
      </c>
      <c r="D1043" s="3">
        <v>0.35416666666666702</v>
      </c>
      <c r="E1043" s="3">
        <v>0.41666666666666702</v>
      </c>
      <c r="F1043" s="2" t="s">
        <v>15</v>
      </c>
      <c r="G1043" s="2" t="s">
        <v>16</v>
      </c>
      <c r="H1043" s="2">
        <v>4</v>
      </c>
      <c r="I1043" s="2" t="s">
        <v>1209</v>
      </c>
      <c r="J1043" s="2" t="s">
        <v>1210</v>
      </c>
      <c r="K1043" s="2"/>
      <c r="L1043" s="2" t="str">
        <f>IFERROR(VLOOKUP(IFERROR(VLOOKUP(C1043,'Destination Alias'!$A:$B,2,FALSE()),C1043),'Best Months'!$A:$B,2,FALSE()),"Not listed")</f>
        <v>Jan–Mar, Jul–Aug</v>
      </c>
    </row>
    <row r="1044" spans="1:12" x14ac:dyDescent="0.3">
      <c r="A1044" s="2" t="s">
        <v>1208</v>
      </c>
      <c r="B1044" s="2" t="s">
        <v>13</v>
      </c>
      <c r="C1044" s="2" t="s">
        <v>297</v>
      </c>
      <c r="D1044" s="3">
        <v>0.625</v>
      </c>
      <c r="E1044" s="3">
        <v>0.6875</v>
      </c>
      <c r="F1044" s="2" t="s">
        <v>15</v>
      </c>
      <c r="G1044" s="2" t="s">
        <v>73</v>
      </c>
      <c r="H1044" s="2">
        <v>3</v>
      </c>
      <c r="I1044" s="2" t="s">
        <v>1209</v>
      </c>
      <c r="J1044" s="2" t="s">
        <v>1210</v>
      </c>
      <c r="K1044" s="2"/>
      <c r="L1044" s="2" t="str">
        <f>IFERROR(VLOOKUP(IFERROR(VLOOKUP(C1044,'Destination Alias'!$A:$B,2,FALSE()),C1044),'Best Months'!$A:$B,2,FALSE()),"Not listed")</f>
        <v>Jan–Mar, Jul–Aug</v>
      </c>
    </row>
    <row r="1045" spans="1:12" x14ac:dyDescent="0.3">
      <c r="A1045" s="2" t="s">
        <v>1208</v>
      </c>
      <c r="B1045" s="2" t="s">
        <v>13</v>
      </c>
      <c r="C1045" s="2" t="s">
        <v>297</v>
      </c>
      <c r="D1045" s="3">
        <v>0.6875</v>
      </c>
      <c r="E1045" s="3">
        <v>0.75</v>
      </c>
      <c r="F1045" s="2" t="s">
        <v>15</v>
      </c>
      <c r="G1045" s="2" t="s">
        <v>73</v>
      </c>
      <c r="H1045" s="2">
        <v>4</v>
      </c>
      <c r="I1045" s="2" t="s">
        <v>1209</v>
      </c>
      <c r="J1045" s="2" t="s">
        <v>1210</v>
      </c>
      <c r="K1045" s="2"/>
      <c r="L1045" s="2" t="str">
        <f>IFERROR(VLOOKUP(IFERROR(VLOOKUP(C1045,'Destination Alias'!$A:$B,2,FALSE()),C1045),'Best Months'!$A:$B,2,FALSE()),"Not listed")</f>
        <v>Jan–Mar, Jul–Aug</v>
      </c>
    </row>
    <row r="1046" spans="1:12" x14ac:dyDescent="0.3">
      <c r="A1046" s="2" t="s">
        <v>1208</v>
      </c>
      <c r="B1046" s="2" t="s">
        <v>13</v>
      </c>
      <c r="C1046" s="2" t="s">
        <v>297</v>
      </c>
      <c r="D1046" s="3">
        <v>0.75</v>
      </c>
      <c r="E1046" s="3">
        <v>0.8125</v>
      </c>
      <c r="F1046" s="2" t="s">
        <v>15</v>
      </c>
      <c r="G1046" s="2" t="s">
        <v>102</v>
      </c>
      <c r="H1046" s="2">
        <v>4</v>
      </c>
      <c r="I1046" s="2" t="s">
        <v>1209</v>
      </c>
      <c r="J1046" s="2" t="s">
        <v>1210</v>
      </c>
      <c r="K1046" s="2"/>
      <c r="L1046" s="2" t="str">
        <f>IFERROR(VLOOKUP(IFERROR(VLOOKUP(C1046,'Destination Alias'!$A:$B,2,FALSE()),C1046),'Best Months'!$A:$B,2,FALSE()),"Not listed")</f>
        <v>Jan–Mar, Jul–Aug</v>
      </c>
    </row>
    <row r="1047" spans="1:12" x14ac:dyDescent="0.3">
      <c r="A1047" s="2" t="s">
        <v>1208</v>
      </c>
      <c r="B1047" s="2" t="s">
        <v>13</v>
      </c>
      <c r="C1047" s="2" t="s">
        <v>297</v>
      </c>
      <c r="D1047" s="3">
        <v>0.29166666666666702</v>
      </c>
      <c r="E1047" s="3">
        <v>0.35416666666666702</v>
      </c>
      <c r="F1047" s="2" t="s">
        <v>15</v>
      </c>
      <c r="G1047" s="2" t="s">
        <v>38</v>
      </c>
      <c r="H1047" s="2">
        <v>3.8</v>
      </c>
      <c r="I1047" s="2" t="s">
        <v>1209</v>
      </c>
      <c r="J1047" s="2" t="s">
        <v>1210</v>
      </c>
      <c r="K1047" s="2"/>
      <c r="L1047" s="2" t="str">
        <f>IFERROR(VLOOKUP(IFERROR(VLOOKUP(C1047,'Destination Alias'!$A:$B,2,FALSE()),C1047),'Best Months'!$A:$B,2,FALSE()),"Not listed")</f>
        <v>Jan–Mar, Jul–Aug</v>
      </c>
    </row>
    <row r="1048" spans="1:12" x14ac:dyDescent="0.3">
      <c r="A1048" s="2" t="s">
        <v>1208</v>
      </c>
      <c r="B1048" s="2" t="s">
        <v>13</v>
      </c>
      <c r="C1048" s="2" t="s">
        <v>297</v>
      </c>
      <c r="D1048" s="3">
        <v>0.35416666666666702</v>
      </c>
      <c r="E1048" s="3">
        <v>0.41666666666666702</v>
      </c>
      <c r="F1048" s="2" t="s">
        <v>15</v>
      </c>
      <c r="G1048" s="2" t="s">
        <v>16</v>
      </c>
      <c r="H1048" s="2">
        <v>3.8</v>
      </c>
      <c r="I1048" s="2" t="s">
        <v>1209</v>
      </c>
      <c r="J1048" s="2" t="s">
        <v>1210</v>
      </c>
      <c r="K1048" s="2"/>
      <c r="L1048" s="2" t="str">
        <f>IFERROR(VLOOKUP(IFERROR(VLOOKUP(C1048,'Destination Alias'!$A:$B,2,FALSE()),C1048),'Best Months'!$A:$B,2,FALSE()),"Not listed")</f>
        <v>Jan–Mar, Jul–Aug</v>
      </c>
    </row>
    <row r="1049" spans="1:12" x14ac:dyDescent="0.3">
      <c r="A1049" s="2" t="s">
        <v>1211</v>
      </c>
      <c r="B1049" s="2" t="s">
        <v>13</v>
      </c>
      <c r="C1049" s="2" t="s">
        <v>50</v>
      </c>
      <c r="D1049" s="3">
        <v>0.27083333333333298</v>
      </c>
      <c r="E1049" s="3">
        <v>0.33333333333333298</v>
      </c>
      <c r="F1049" s="2" t="s">
        <v>15</v>
      </c>
      <c r="G1049" s="2" t="s">
        <v>28</v>
      </c>
      <c r="H1049" s="2">
        <v>5</v>
      </c>
      <c r="I1049" s="2" t="s">
        <v>1212</v>
      </c>
      <c r="J1049" s="2" t="s">
        <v>1213</v>
      </c>
      <c r="K1049" s="2"/>
      <c r="L1049" s="2" t="str">
        <f>IFERROR(VLOOKUP(IFERROR(VLOOKUP(C1049,'Destination Alias'!$A:$B,2,FALSE()),C1049),'Best Months'!$A:$B,2,FALSE()),"Not listed")</f>
        <v>Dec–Mar</v>
      </c>
    </row>
    <row r="1050" spans="1:12" x14ac:dyDescent="0.3">
      <c r="A1050" s="2" t="s">
        <v>1211</v>
      </c>
      <c r="B1050" s="2" t="s">
        <v>13</v>
      </c>
      <c r="C1050" s="2" t="s">
        <v>50</v>
      </c>
      <c r="D1050" s="3">
        <v>0.25</v>
      </c>
      <c r="E1050" s="3">
        <v>0.375</v>
      </c>
      <c r="F1050" s="2" t="s">
        <v>15</v>
      </c>
      <c r="G1050" s="2" t="s">
        <v>28</v>
      </c>
      <c r="H1050" s="2">
        <v>4.3</v>
      </c>
      <c r="I1050" s="2" t="s">
        <v>1212</v>
      </c>
      <c r="J1050" s="2" t="s">
        <v>1213</v>
      </c>
      <c r="K1050" s="2"/>
      <c r="L1050" s="2" t="str">
        <f>IFERROR(VLOOKUP(IFERROR(VLOOKUP(C1050,'Destination Alias'!$A:$B,2,FALSE()),C1050),'Best Months'!$A:$B,2,FALSE()),"Not listed")</f>
        <v>Dec–Mar</v>
      </c>
    </row>
    <row r="1051" spans="1:12" x14ac:dyDescent="0.3">
      <c r="A1051" s="2" t="s">
        <v>1211</v>
      </c>
      <c r="B1051" s="2" t="s">
        <v>13</v>
      </c>
      <c r="C1051" s="2" t="s">
        <v>50</v>
      </c>
      <c r="D1051" s="3">
        <v>0.625</v>
      </c>
      <c r="E1051" s="3">
        <v>0.75</v>
      </c>
      <c r="F1051" s="2" t="s">
        <v>15</v>
      </c>
      <c r="G1051" s="2" t="s">
        <v>73</v>
      </c>
      <c r="H1051" s="2">
        <v>4.3</v>
      </c>
      <c r="I1051" s="2" t="s">
        <v>1212</v>
      </c>
      <c r="J1051" s="2" t="s">
        <v>1213</v>
      </c>
      <c r="K1051" s="2"/>
      <c r="L1051" s="2" t="str">
        <f>IFERROR(VLOOKUP(IFERROR(VLOOKUP(C1051,'Destination Alias'!$A:$B,2,FALSE()),C1051),'Best Months'!$A:$B,2,FALSE()),"Not listed")</f>
        <v>Dec–Mar</v>
      </c>
    </row>
    <row r="1052" spans="1:12" x14ac:dyDescent="0.3">
      <c r="A1052" s="2" t="s">
        <v>1211</v>
      </c>
      <c r="B1052" s="2" t="s">
        <v>13</v>
      </c>
      <c r="C1052" s="2" t="s">
        <v>50</v>
      </c>
      <c r="D1052" s="3">
        <v>0.6875</v>
      </c>
      <c r="E1052" s="3">
        <v>0.77083333333333304</v>
      </c>
      <c r="F1052" s="2" t="s">
        <v>15</v>
      </c>
      <c r="G1052" s="2" t="s">
        <v>73</v>
      </c>
      <c r="H1052" s="2">
        <v>4.3</v>
      </c>
      <c r="I1052" s="2" t="s">
        <v>1212</v>
      </c>
      <c r="J1052" s="2" t="s">
        <v>1213</v>
      </c>
      <c r="K1052" s="2"/>
      <c r="L1052" s="2" t="str">
        <f>IFERROR(VLOOKUP(IFERROR(VLOOKUP(C1052,'Destination Alias'!$A:$B,2,FALSE()),C1052),'Best Months'!$A:$B,2,FALSE()),"Not listed")</f>
        <v>Dec–Mar</v>
      </c>
    </row>
    <row r="1053" spans="1:12" x14ac:dyDescent="0.3">
      <c r="A1053" s="2" t="s">
        <v>1211</v>
      </c>
      <c r="B1053" s="2" t="s">
        <v>13</v>
      </c>
      <c r="C1053" s="2" t="s">
        <v>50</v>
      </c>
      <c r="D1053" s="3">
        <v>0.70833333333333304</v>
      </c>
      <c r="E1053" s="3"/>
      <c r="F1053" s="2" t="s">
        <v>15</v>
      </c>
      <c r="G1053" s="2" t="s">
        <v>52</v>
      </c>
      <c r="H1053" s="2">
        <v>4.3</v>
      </c>
      <c r="I1053" s="2" t="s">
        <v>1212</v>
      </c>
      <c r="J1053" s="2" t="s">
        <v>1213</v>
      </c>
      <c r="K1053" s="2"/>
      <c r="L1053" s="2" t="str">
        <f>IFERROR(VLOOKUP(IFERROR(VLOOKUP(C1053,'Destination Alias'!$A:$B,2,FALSE()),C1053),'Best Months'!$A:$B,2,FALSE()),"Not listed")</f>
        <v>Dec–Mar</v>
      </c>
    </row>
    <row r="1054" spans="1:12" x14ac:dyDescent="0.3">
      <c r="A1054" s="2" t="s">
        <v>1211</v>
      </c>
      <c r="B1054" s="2" t="s">
        <v>13</v>
      </c>
      <c r="C1054" s="2" t="s">
        <v>50</v>
      </c>
      <c r="D1054" s="3">
        <v>0.25</v>
      </c>
      <c r="E1054" s="3">
        <v>0.375</v>
      </c>
      <c r="F1054" s="2" t="s">
        <v>15</v>
      </c>
      <c r="G1054" s="2" t="s">
        <v>28</v>
      </c>
      <c r="H1054" s="2">
        <v>4.3</v>
      </c>
      <c r="I1054" s="2" t="s">
        <v>1212</v>
      </c>
      <c r="J1054" s="2" t="s">
        <v>1213</v>
      </c>
      <c r="K1054" s="2"/>
      <c r="L1054" s="2" t="str">
        <f>IFERROR(VLOOKUP(IFERROR(VLOOKUP(C1054,'Destination Alias'!$A:$B,2,FALSE()),C1054),'Best Months'!$A:$B,2,FALSE()),"Not listed")</f>
        <v>Dec–Mar</v>
      </c>
    </row>
    <row r="1055" spans="1:12" x14ac:dyDescent="0.3">
      <c r="A1055" s="2" t="s">
        <v>1211</v>
      </c>
      <c r="B1055" s="2" t="s">
        <v>13</v>
      </c>
      <c r="C1055" s="2" t="s">
        <v>50</v>
      </c>
      <c r="D1055" s="3">
        <v>0.64583333333333304</v>
      </c>
      <c r="E1055" s="3">
        <v>0.72916666666666696</v>
      </c>
      <c r="F1055" s="2" t="s">
        <v>15</v>
      </c>
      <c r="G1055" s="2" t="s">
        <v>73</v>
      </c>
      <c r="H1055" s="2">
        <v>4.3</v>
      </c>
      <c r="I1055" s="2" t="s">
        <v>1212</v>
      </c>
      <c r="J1055" s="2" t="s">
        <v>1213</v>
      </c>
      <c r="K1055" s="2"/>
      <c r="L1055" s="2" t="str">
        <f>IFERROR(VLOOKUP(IFERROR(VLOOKUP(C1055,'Destination Alias'!$A:$B,2,FALSE()),C1055),'Best Months'!$A:$B,2,FALSE()),"Not listed")</f>
        <v>Dec–Mar</v>
      </c>
    </row>
    <row r="1056" spans="1:12" x14ac:dyDescent="0.3">
      <c r="A1056" s="2" t="s">
        <v>1211</v>
      </c>
      <c r="B1056" s="2" t="s">
        <v>13</v>
      </c>
      <c r="C1056" s="2" t="s">
        <v>50</v>
      </c>
      <c r="D1056" s="3">
        <v>0.66666666666666696</v>
      </c>
      <c r="E1056" s="3">
        <v>0.72916666666666696</v>
      </c>
      <c r="F1056" s="2" t="s">
        <v>15</v>
      </c>
      <c r="G1056" s="2" t="s">
        <v>73</v>
      </c>
      <c r="H1056" s="2">
        <v>4.3</v>
      </c>
      <c r="I1056" s="2" t="s">
        <v>1212</v>
      </c>
      <c r="J1056" s="2" t="s">
        <v>1213</v>
      </c>
      <c r="K1056" s="2"/>
      <c r="L1056" s="2" t="str">
        <f>IFERROR(VLOOKUP(IFERROR(VLOOKUP(C1056,'Destination Alias'!$A:$B,2,FALSE()),C1056),'Best Months'!$A:$B,2,FALSE()),"Not listed")</f>
        <v>Dec–Mar</v>
      </c>
    </row>
    <row r="1057" spans="1:19" x14ac:dyDescent="0.3">
      <c r="A1057" s="2" t="s">
        <v>1214</v>
      </c>
      <c r="B1057" s="2" t="s">
        <v>13</v>
      </c>
      <c r="C1057" s="2" t="s">
        <v>44</v>
      </c>
      <c r="D1057" s="3">
        <v>0.33333333333333298</v>
      </c>
      <c r="E1057" s="3">
        <v>0.39583333333333298</v>
      </c>
      <c r="F1057" s="2" t="s">
        <v>15</v>
      </c>
      <c r="G1057" s="2" t="s">
        <v>16</v>
      </c>
      <c r="H1057" s="2">
        <v>4</v>
      </c>
      <c r="I1057" s="2" t="s">
        <v>604</v>
      </c>
      <c r="J1057" s="2" t="s">
        <v>1215</v>
      </c>
      <c r="K1057" s="4" t="s">
        <v>1216</v>
      </c>
      <c r="L1057" s="2" t="str">
        <f>IFERROR(VLOOKUP(IFERROR(VLOOKUP(C1057,'Destination Alias'!$A:$B,2,FALSE()),C1057),'Best Months'!$A:$B,2,FALSE()),"Not listed")</f>
        <v>Jan–Mar, Jul–Sep</v>
      </c>
      <c r="S1057" t="s">
        <v>1216</v>
      </c>
    </row>
    <row r="1058" spans="1:19" x14ac:dyDescent="0.3">
      <c r="A1058" s="2" t="s">
        <v>1214</v>
      </c>
      <c r="B1058" s="2" t="s">
        <v>13</v>
      </c>
      <c r="C1058" s="2" t="s">
        <v>44</v>
      </c>
      <c r="D1058" s="3">
        <v>0.39583333333333298</v>
      </c>
      <c r="E1058" s="3">
        <v>0.45833333333333298</v>
      </c>
      <c r="F1058" s="2" t="s">
        <v>15</v>
      </c>
      <c r="G1058" s="2" t="s">
        <v>20</v>
      </c>
      <c r="H1058" s="2">
        <v>4</v>
      </c>
      <c r="I1058" s="2" t="s">
        <v>604</v>
      </c>
      <c r="J1058" s="2" t="s">
        <v>1215</v>
      </c>
      <c r="K1058" s="4" t="s">
        <v>1216</v>
      </c>
      <c r="L1058" s="2" t="str">
        <f>IFERROR(VLOOKUP(IFERROR(VLOOKUP(C1058,'Destination Alias'!$A:$B,2,FALSE()),C1058),'Best Months'!$A:$B,2,FALSE()),"Not listed")</f>
        <v>Jan–Mar, Jul–Sep</v>
      </c>
      <c r="S1058" t="s">
        <v>1216</v>
      </c>
    </row>
    <row r="1059" spans="1:19" x14ac:dyDescent="0.3">
      <c r="A1059" s="2" t="s">
        <v>1217</v>
      </c>
      <c r="B1059" s="2" t="s">
        <v>13</v>
      </c>
      <c r="C1059" s="2" t="s">
        <v>27</v>
      </c>
      <c r="D1059" s="3">
        <v>0.27083333333333298</v>
      </c>
      <c r="E1059" s="3">
        <v>0.35416666666666702</v>
      </c>
      <c r="F1059" s="2" t="s">
        <v>51</v>
      </c>
      <c r="G1059" s="2" t="s">
        <v>28</v>
      </c>
      <c r="H1059" s="2">
        <v>4.3</v>
      </c>
      <c r="I1059" s="2" t="s">
        <v>1218</v>
      </c>
      <c r="J1059" s="2" t="s">
        <v>1219</v>
      </c>
      <c r="K1059" s="2"/>
      <c r="L1059" s="2" t="str">
        <f>IFERROR(VLOOKUP(IFERROR(VLOOKUP(C1059,'Destination Alias'!$A:$B,2,FALSE()),C1059),'Best Months'!$A:$B,2,FALSE()),"Not listed")</f>
        <v>May–Sep</v>
      </c>
    </row>
    <row r="1060" spans="1:19" x14ac:dyDescent="0.3">
      <c r="A1060" s="2" t="s">
        <v>1220</v>
      </c>
      <c r="B1060" s="2" t="s">
        <v>13</v>
      </c>
      <c r="C1060" s="2" t="s">
        <v>137</v>
      </c>
      <c r="D1060" s="3">
        <v>0.33333333333333298</v>
      </c>
      <c r="E1060" s="3">
        <v>0.39583333333333298</v>
      </c>
      <c r="F1060" s="2" t="s">
        <v>15</v>
      </c>
      <c r="G1060" s="2" t="s">
        <v>16</v>
      </c>
      <c r="H1060" s="2">
        <v>4</v>
      </c>
      <c r="I1060" s="2" t="s">
        <v>604</v>
      </c>
      <c r="J1060" s="2" t="s">
        <v>1221</v>
      </c>
      <c r="K1060" s="2" t="s">
        <v>1222</v>
      </c>
      <c r="L1060" s="2" t="str">
        <f>IFERROR(VLOOKUP(IFERROR(VLOOKUP(C1060,'Destination Alias'!$A:$B,2,FALSE()),C1060),'Best Months'!$A:$B,2,FALSE()),"Not listed")</f>
        <v>Jan–Mar</v>
      </c>
    </row>
    <row r="1061" spans="1:19" x14ac:dyDescent="0.3">
      <c r="A1061" s="2" t="s">
        <v>1220</v>
      </c>
      <c r="B1061" s="2" t="s">
        <v>13</v>
      </c>
      <c r="C1061" s="2" t="s">
        <v>137</v>
      </c>
      <c r="D1061" s="3">
        <v>0.39583333333333298</v>
      </c>
      <c r="E1061" s="3">
        <v>0.45833333333333298</v>
      </c>
      <c r="F1061" s="2" t="s">
        <v>15</v>
      </c>
      <c r="G1061" s="2" t="s">
        <v>20</v>
      </c>
      <c r="H1061" s="2">
        <v>4</v>
      </c>
      <c r="I1061" s="2" t="s">
        <v>604</v>
      </c>
      <c r="J1061" s="2" t="s">
        <v>1221</v>
      </c>
      <c r="K1061" s="2" t="s">
        <v>1222</v>
      </c>
      <c r="L1061" s="2" t="str">
        <f>IFERROR(VLOOKUP(IFERROR(VLOOKUP(C1061,'Destination Alias'!$A:$B,2,FALSE()),C1061),'Best Months'!$A:$B,2,FALSE()),"Not listed")</f>
        <v>Jan–Mar</v>
      </c>
    </row>
    <row r="1062" spans="1:19" x14ac:dyDescent="0.3">
      <c r="A1062" s="2" t="s">
        <v>1223</v>
      </c>
      <c r="B1062" s="2" t="s">
        <v>81</v>
      </c>
      <c r="C1062" s="2" t="s">
        <v>108</v>
      </c>
      <c r="D1062" s="3">
        <v>0.25</v>
      </c>
      <c r="E1062" s="3">
        <v>0.41666666666666702</v>
      </c>
      <c r="F1062" s="2" t="s">
        <v>129</v>
      </c>
      <c r="G1062" s="2" t="s">
        <v>28</v>
      </c>
      <c r="H1062" s="2">
        <v>4.4000000000000004</v>
      </c>
      <c r="I1062" s="2" t="s">
        <v>1224</v>
      </c>
      <c r="J1062" s="2" t="s">
        <v>1225</v>
      </c>
      <c r="K1062" s="2"/>
      <c r="L1062" s="2" t="str">
        <f>IFERROR(VLOOKUP(IFERROR(VLOOKUP(C1062,'Destination Alias'!$A:$B,2,FALSE()),C1062),'Best Months'!$A:$B,2,FALSE()),"Not listed")</f>
        <v>Jan–Mar, Jul–Aug</v>
      </c>
    </row>
    <row r="1063" spans="1:19" x14ac:dyDescent="0.3">
      <c r="A1063" s="2" t="s">
        <v>1226</v>
      </c>
      <c r="B1063" s="2" t="s">
        <v>22</v>
      </c>
      <c r="C1063" s="2" t="s">
        <v>65</v>
      </c>
      <c r="D1063" s="3">
        <v>0.27083333333333298</v>
      </c>
      <c r="E1063" s="3">
        <v>0.3125</v>
      </c>
      <c r="F1063" s="2" t="s">
        <v>35</v>
      </c>
      <c r="G1063" s="2" t="s">
        <v>28</v>
      </c>
      <c r="H1063" s="2">
        <v>4.5999999999999996</v>
      </c>
      <c r="I1063" s="2" t="s">
        <v>1227</v>
      </c>
      <c r="J1063" s="2" t="s">
        <v>1228</v>
      </c>
      <c r="K1063" s="4" t="s">
        <v>1229</v>
      </c>
      <c r="L1063" s="2" t="str">
        <f>IFERROR(VLOOKUP(IFERROR(VLOOKUP(C1063,'Destination Alias'!$A:$B,2,FALSE()),C1063),'Best Months'!$A:$B,2,FALSE()),"Not listed")</f>
        <v>Dec–Mar</v>
      </c>
      <c r="S1063" t="s">
        <v>1229</v>
      </c>
    </row>
    <row r="1064" spans="1:19" x14ac:dyDescent="0.3">
      <c r="A1064" s="2" t="s">
        <v>1226</v>
      </c>
      <c r="B1064" s="2" t="s">
        <v>22</v>
      </c>
      <c r="C1064" s="2" t="s">
        <v>65</v>
      </c>
      <c r="D1064" s="3">
        <v>0.3125</v>
      </c>
      <c r="E1064" s="3">
        <v>0.35416666666666702</v>
      </c>
      <c r="F1064" s="2" t="s">
        <v>35</v>
      </c>
      <c r="G1064" s="2" t="s">
        <v>38</v>
      </c>
      <c r="H1064" s="2">
        <v>4.5999999999999996</v>
      </c>
      <c r="I1064" s="2" t="s">
        <v>1227</v>
      </c>
      <c r="J1064" s="2" t="s">
        <v>1228</v>
      </c>
      <c r="K1064" s="4" t="s">
        <v>1229</v>
      </c>
      <c r="L1064" s="2" t="str">
        <f>IFERROR(VLOOKUP(IFERROR(VLOOKUP(C1064,'Destination Alias'!$A:$B,2,FALSE()),C1064),'Best Months'!$A:$B,2,FALSE()),"Not listed")</f>
        <v>Dec–Mar</v>
      </c>
      <c r="S1064" t="s">
        <v>1229</v>
      </c>
    </row>
    <row r="1065" spans="1:19" x14ac:dyDescent="0.3">
      <c r="A1065" s="2" t="s">
        <v>1226</v>
      </c>
      <c r="B1065" s="2" t="s">
        <v>22</v>
      </c>
      <c r="C1065" s="2" t="s">
        <v>65</v>
      </c>
      <c r="D1065" s="3">
        <v>0.35416666666666702</v>
      </c>
      <c r="E1065" s="3">
        <v>0.39583333333333298</v>
      </c>
      <c r="F1065" s="2" t="s">
        <v>35</v>
      </c>
      <c r="G1065" s="2" t="s">
        <v>16</v>
      </c>
      <c r="H1065" s="2">
        <v>4.5999999999999996</v>
      </c>
      <c r="I1065" s="2" t="s">
        <v>1227</v>
      </c>
      <c r="J1065" s="2" t="s">
        <v>1228</v>
      </c>
      <c r="K1065" s="4" t="s">
        <v>1229</v>
      </c>
      <c r="L1065" s="2" t="str">
        <f>IFERROR(VLOOKUP(IFERROR(VLOOKUP(C1065,'Destination Alias'!$A:$B,2,FALSE()),C1065),'Best Months'!$A:$B,2,FALSE()),"Not listed")</f>
        <v>Dec–Mar</v>
      </c>
      <c r="S1065" t="s">
        <v>1229</v>
      </c>
    </row>
    <row r="1066" spans="1:19" x14ac:dyDescent="0.3">
      <c r="A1066" s="2" t="s">
        <v>1230</v>
      </c>
      <c r="B1066" s="2" t="s">
        <v>241</v>
      </c>
      <c r="C1066" s="2" t="s">
        <v>65</v>
      </c>
      <c r="D1066" s="3">
        <v>0.27083333333333298</v>
      </c>
      <c r="E1066" s="3">
        <v>0.4375</v>
      </c>
      <c r="F1066" s="2" t="s">
        <v>129</v>
      </c>
      <c r="G1066" s="2" t="s">
        <v>28</v>
      </c>
      <c r="H1066" s="2">
        <v>3.9</v>
      </c>
      <c r="I1066" s="2" t="s">
        <v>1231</v>
      </c>
      <c r="J1066" s="2" t="s">
        <v>1232</v>
      </c>
      <c r="K1066" s="4" t="s">
        <v>1233</v>
      </c>
      <c r="L1066" s="2" t="str">
        <f>IFERROR(VLOOKUP(IFERROR(VLOOKUP(C1066,'Destination Alias'!$A:$B,2,FALSE()),C1066),'Best Months'!$A:$B,2,FALSE()),"Not listed")</f>
        <v>Dec–Mar</v>
      </c>
      <c r="S1066" t="s">
        <v>1233</v>
      </c>
    </row>
    <row r="1067" spans="1:19" x14ac:dyDescent="0.3">
      <c r="A1067" s="2" t="s">
        <v>1234</v>
      </c>
      <c r="B1067" s="2" t="s">
        <v>13</v>
      </c>
      <c r="C1067" s="2" t="s">
        <v>44</v>
      </c>
      <c r="D1067" s="3">
        <v>0.33333333333333298</v>
      </c>
      <c r="E1067" s="3">
        <v>0.39583333333333298</v>
      </c>
      <c r="F1067" s="2" t="s">
        <v>15</v>
      </c>
      <c r="G1067" s="2" t="s">
        <v>16</v>
      </c>
      <c r="H1067" s="2">
        <v>4</v>
      </c>
      <c r="I1067" s="2" t="s">
        <v>604</v>
      </c>
      <c r="J1067" s="2" t="s">
        <v>1235</v>
      </c>
      <c r="K1067" s="4" t="s">
        <v>1236</v>
      </c>
      <c r="L1067" s="2" t="str">
        <f>IFERROR(VLOOKUP(IFERROR(VLOOKUP(C1067,'Destination Alias'!$A:$B,2,FALSE()),C1067),'Best Months'!$A:$B,2,FALSE()),"Not listed")</f>
        <v>Jan–Mar, Jul–Sep</v>
      </c>
      <c r="S1067" t="s">
        <v>1236</v>
      </c>
    </row>
    <row r="1068" spans="1:19" x14ac:dyDescent="0.3">
      <c r="A1068" s="2" t="s">
        <v>1234</v>
      </c>
      <c r="B1068" s="2" t="s">
        <v>13</v>
      </c>
      <c r="C1068" s="2" t="s">
        <v>44</v>
      </c>
      <c r="D1068" s="3">
        <v>0.39583333333333298</v>
      </c>
      <c r="E1068" s="3">
        <v>0.45833333333333298</v>
      </c>
      <c r="F1068" s="2" t="s">
        <v>15</v>
      </c>
      <c r="G1068" s="2" t="s">
        <v>20</v>
      </c>
      <c r="H1068" s="2">
        <v>4</v>
      </c>
      <c r="I1068" s="2" t="s">
        <v>604</v>
      </c>
      <c r="J1068" s="2" t="s">
        <v>1235</v>
      </c>
      <c r="K1068" s="4" t="s">
        <v>1236</v>
      </c>
      <c r="L1068" s="2" t="str">
        <f>IFERROR(VLOOKUP(IFERROR(VLOOKUP(C1068,'Destination Alias'!$A:$B,2,FALSE()),C1068),'Best Months'!$A:$B,2,FALSE()),"Not listed")</f>
        <v>Jan–Mar, Jul–Sep</v>
      </c>
      <c r="S1068" t="s">
        <v>1236</v>
      </c>
    </row>
    <row r="1069" spans="1:19" x14ac:dyDescent="0.3">
      <c r="A1069" s="2" t="s">
        <v>1237</v>
      </c>
      <c r="B1069" s="2" t="s">
        <v>22</v>
      </c>
      <c r="C1069" s="2" t="s">
        <v>65</v>
      </c>
      <c r="D1069" s="3">
        <v>0.3125</v>
      </c>
      <c r="E1069" s="3">
        <v>0.375</v>
      </c>
      <c r="F1069" s="2" t="s">
        <v>15</v>
      </c>
      <c r="G1069" s="2" t="s">
        <v>38</v>
      </c>
      <c r="H1069" s="2">
        <v>4.5999999999999996</v>
      </c>
      <c r="I1069" s="2" t="s">
        <v>1238</v>
      </c>
      <c r="J1069" s="2" t="s">
        <v>1239</v>
      </c>
      <c r="K1069" s="2" t="s">
        <v>1240</v>
      </c>
      <c r="L1069" s="2" t="str">
        <f>IFERROR(VLOOKUP(IFERROR(VLOOKUP(C1069,'Destination Alias'!$A:$B,2,FALSE()),C1069),'Best Months'!$A:$B,2,FALSE()),"Not listed")</f>
        <v>Dec–Mar</v>
      </c>
    </row>
    <row r="1070" spans="1:19" x14ac:dyDescent="0.3">
      <c r="A1070" s="2" t="s">
        <v>1237</v>
      </c>
      <c r="B1070" s="2" t="s">
        <v>22</v>
      </c>
      <c r="C1070" s="2" t="s">
        <v>65</v>
      </c>
      <c r="D1070" s="3">
        <v>0.375</v>
      </c>
      <c r="E1070" s="3">
        <v>0.4375</v>
      </c>
      <c r="F1070" s="2" t="s">
        <v>15</v>
      </c>
      <c r="G1070" s="2" t="s">
        <v>20</v>
      </c>
      <c r="H1070" s="2">
        <v>4.5999999999999996</v>
      </c>
      <c r="I1070" s="2" t="s">
        <v>1238</v>
      </c>
      <c r="J1070" s="2" t="s">
        <v>1239</v>
      </c>
      <c r="K1070" s="2" t="s">
        <v>1240</v>
      </c>
      <c r="L1070" s="2" t="str">
        <f>IFERROR(VLOOKUP(IFERROR(VLOOKUP(C1070,'Destination Alias'!$A:$B,2,FALSE()),C1070),'Best Months'!$A:$B,2,FALSE()),"Not listed")</f>
        <v>Dec–Mar</v>
      </c>
    </row>
    <row r="1071" spans="1:19" x14ac:dyDescent="0.3">
      <c r="A1071" s="2" t="s">
        <v>1241</v>
      </c>
      <c r="B1071" s="2" t="s">
        <v>361</v>
      </c>
      <c r="C1071" s="2" t="s">
        <v>163</v>
      </c>
      <c r="D1071" s="3">
        <v>0.27083333333333298</v>
      </c>
      <c r="E1071" s="3">
        <v>0.47916666666666702</v>
      </c>
      <c r="F1071" s="2" t="s">
        <v>546</v>
      </c>
      <c r="G1071" s="2" t="s">
        <v>28</v>
      </c>
      <c r="H1071" s="2">
        <v>5</v>
      </c>
      <c r="I1071" s="2" t="s">
        <v>1242</v>
      </c>
      <c r="J1071" s="2" t="s">
        <v>1243</v>
      </c>
      <c r="K1071" s="2"/>
      <c r="L1071" s="2" t="str">
        <f>IFERROR(VLOOKUP(IFERROR(VLOOKUP(C1071,'Destination Alias'!$A:$B,2,FALSE()),C1071),'Best Months'!$A:$B,2,FALSE()),"Not listed")</f>
        <v>Dec–Mar</v>
      </c>
    </row>
    <row r="1072" spans="1:19" x14ac:dyDescent="0.3">
      <c r="A1072" s="2" t="s">
        <v>1244</v>
      </c>
      <c r="B1072" s="2" t="s">
        <v>81</v>
      </c>
      <c r="C1072" s="2" t="s">
        <v>86</v>
      </c>
      <c r="D1072" s="3">
        <v>0.125</v>
      </c>
      <c r="E1072" s="3">
        <v>0.29166666666666702</v>
      </c>
      <c r="F1072" s="2" t="s">
        <v>129</v>
      </c>
      <c r="G1072" s="2" t="s">
        <v>52</v>
      </c>
      <c r="H1072" s="2">
        <v>5</v>
      </c>
      <c r="I1072" s="2" t="s">
        <v>1245</v>
      </c>
      <c r="J1072" s="2" t="s">
        <v>1246</v>
      </c>
      <c r="K1072" s="2"/>
      <c r="L1072" s="2" t="str">
        <f>IFERROR(VLOOKUP(IFERROR(VLOOKUP(C1072,'Destination Alias'!$A:$B,2,FALSE()),C1072),'Best Months'!$A:$B,2,FALSE()),"Not listed")</f>
        <v>Jan–Mar, Jul–Sep</v>
      </c>
    </row>
    <row r="1073" spans="1:19" x14ac:dyDescent="0.3">
      <c r="A1073" s="2" t="s">
        <v>1244</v>
      </c>
      <c r="B1073" s="2" t="s">
        <v>81</v>
      </c>
      <c r="C1073" s="2" t="s">
        <v>86</v>
      </c>
      <c r="D1073" s="3">
        <v>0.16666666666666699</v>
      </c>
      <c r="E1073" s="3">
        <v>0.33333333333333298</v>
      </c>
      <c r="F1073" s="2" t="s">
        <v>129</v>
      </c>
      <c r="G1073" s="2" t="s">
        <v>52</v>
      </c>
      <c r="H1073" s="2">
        <v>4</v>
      </c>
      <c r="I1073" s="2" t="s">
        <v>1245</v>
      </c>
      <c r="J1073" s="2" t="s">
        <v>1246</v>
      </c>
      <c r="K1073" s="2"/>
      <c r="L1073" s="2" t="str">
        <f>IFERROR(VLOOKUP(IFERROR(VLOOKUP(C1073,'Destination Alias'!$A:$B,2,FALSE()),C1073),'Best Months'!$A:$B,2,FALSE()),"Not listed")</f>
        <v>Jan–Mar, Jul–Sep</v>
      </c>
    </row>
    <row r="1074" spans="1:19" x14ac:dyDescent="0.3">
      <c r="A1074" s="2" t="s">
        <v>1244</v>
      </c>
      <c r="B1074" s="2" t="s">
        <v>81</v>
      </c>
      <c r="C1074" s="2" t="s">
        <v>86</v>
      </c>
      <c r="D1074" s="3">
        <v>0.20833333333333301</v>
      </c>
      <c r="E1074" s="3">
        <v>0.375</v>
      </c>
      <c r="F1074" s="2" t="s">
        <v>129</v>
      </c>
      <c r="G1074" s="2" t="s">
        <v>28</v>
      </c>
      <c r="H1074" s="2">
        <v>3</v>
      </c>
      <c r="I1074" s="2" t="s">
        <v>1245</v>
      </c>
      <c r="J1074" s="2" t="s">
        <v>1246</v>
      </c>
      <c r="K1074" s="2"/>
      <c r="L1074" s="2" t="str">
        <f>IFERROR(VLOOKUP(IFERROR(VLOOKUP(C1074,'Destination Alias'!$A:$B,2,FALSE()),C1074),'Best Months'!$A:$B,2,FALSE()),"Not listed")</f>
        <v>Jan–Mar, Jul–Sep</v>
      </c>
    </row>
    <row r="1075" spans="1:19" x14ac:dyDescent="0.3">
      <c r="A1075" s="2" t="s">
        <v>1244</v>
      </c>
      <c r="B1075" s="2" t="s">
        <v>81</v>
      </c>
      <c r="C1075" s="2" t="s">
        <v>86</v>
      </c>
      <c r="D1075" s="3">
        <v>0.22916666666666699</v>
      </c>
      <c r="E1075" s="3">
        <v>0.39583333333333298</v>
      </c>
      <c r="F1075" s="2" t="s">
        <v>129</v>
      </c>
      <c r="G1075" s="2" t="s">
        <v>28</v>
      </c>
      <c r="H1075" s="2">
        <v>4</v>
      </c>
      <c r="I1075" s="2" t="s">
        <v>1245</v>
      </c>
      <c r="J1075" s="2" t="s">
        <v>1246</v>
      </c>
      <c r="K1075" s="2"/>
      <c r="L1075" s="2" t="str">
        <f>IFERROR(VLOOKUP(IFERROR(VLOOKUP(C1075,'Destination Alias'!$A:$B,2,FALSE()),C1075),'Best Months'!$A:$B,2,FALSE()),"Not listed")</f>
        <v>Jan–Mar, Jul–Sep</v>
      </c>
    </row>
    <row r="1076" spans="1:19" x14ac:dyDescent="0.3">
      <c r="A1076" s="2" t="s">
        <v>1244</v>
      </c>
      <c r="B1076" s="2" t="s">
        <v>81</v>
      </c>
      <c r="C1076" s="2" t="s">
        <v>86</v>
      </c>
      <c r="D1076" s="3">
        <v>0.25</v>
      </c>
      <c r="E1076" s="3">
        <v>0.41666666666666702</v>
      </c>
      <c r="F1076" s="2" t="s">
        <v>129</v>
      </c>
      <c r="G1076" s="2" t="s">
        <v>28</v>
      </c>
      <c r="H1076" s="2">
        <v>5</v>
      </c>
      <c r="I1076" s="2" t="s">
        <v>1245</v>
      </c>
      <c r="J1076" s="2" t="s">
        <v>1246</v>
      </c>
      <c r="K1076" s="2"/>
      <c r="L1076" s="2" t="str">
        <f>IFERROR(VLOOKUP(IFERROR(VLOOKUP(C1076,'Destination Alias'!$A:$B,2,FALSE()),C1076),'Best Months'!$A:$B,2,FALSE()),"Not listed")</f>
        <v>Jan–Mar, Jul–Sep</v>
      </c>
    </row>
    <row r="1077" spans="1:19" x14ac:dyDescent="0.3">
      <c r="A1077" s="2" t="s">
        <v>1244</v>
      </c>
      <c r="B1077" s="2" t="s">
        <v>81</v>
      </c>
      <c r="C1077" s="2" t="s">
        <v>86</v>
      </c>
      <c r="D1077" s="3">
        <v>0.26041666666666702</v>
      </c>
      <c r="E1077" s="3">
        <v>0.42708333333333298</v>
      </c>
      <c r="F1077" s="2" t="s">
        <v>129</v>
      </c>
      <c r="G1077" s="2" t="s">
        <v>28</v>
      </c>
      <c r="H1077" s="2">
        <v>5</v>
      </c>
      <c r="I1077" s="2" t="s">
        <v>1245</v>
      </c>
      <c r="J1077" s="2" t="s">
        <v>1246</v>
      </c>
      <c r="K1077" s="2"/>
      <c r="L1077" s="2" t="str">
        <f>IFERROR(VLOOKUP(IFERROR(VLOOKUP(C1077,'Destination Alias'!$A:$B,2,FALSE()),C1077),'Best Months'!$A:$B,2,FALSE()),"Not listed")</f>
        <v>Jan–Mar, Jul–Sep</v>
      </c>
    </row>
    <row r="1078" spans="1:19" x14ac:dyDescent="0.3">
      <c r="A1078" s="2" t="s">
        <v>1244</v>
      </c>
      <c r="B1078" s="2" t="s">
        <v>81</v>
      </c>
      <c r="C1078" s="2" t="s">
        <v>86</v>
      </c>
      <c r="D1078" s="3">
        <v>0.27083333333333298</v>
      </c>
      <c r="E1078" s="3">
        <v>0.4375</v>
      </c>
      <c r="F1078" s="2" t="s">
        <v>129</v>
      </c>
      <c r="G1078" s="2" t="s">
        <v>28</v>
      </c>
      <c r="H1078" s="2">
        <v>4</v>
      </c>
      <c r="I1078" s="2" t="s">
        <v>1245</v>
      </c>
      <c r="J1078" s="2" t="s">
        <v>1246</v>
      </c>
      <c r="K1078" s="2"/>
      <c r="L1078" s="2" t="str">
        <f>IFERROR(VLOOKUP(IFERROR(VLOOKUP(C1078,'Destination Alias'!$A:$B,2,FALSE()),C1078),'Best Months'!$A:$B,2,FALSE()),"Not listed")</f>
        <v>Jan–Mar, Jul–Sep</v>
      </c>
    </row>
    <row r="1079" spans="1:19" x14ac:dyDescent="0.3">
      <c r="A1079" s="2" t="s">
        <v>1244</v>
      </c>
      <c r="B1079" s="2" t="s">
        <v>81</v>
      </c>
      <c r="C1079" s="2" t="s">
        <v>86</v>
      </c>
      <c r="D1079" s="3">
        <v>0.3125</v>
      </c>
      <c r="E1079" s="3">
        <v>0.47916666666666702</v>
      </c>
      <c r="F1079" s="2" t="s">
        <v>129</v>
      </c>
      <c r="G1079" s="2" t="s">
        <v>38</v>
      </c>
      <c r="H1079" s="2">
        <v>4</v>
      </c>
      <c r="I1079" s="2" t="s">
        <v>1245</v>
      </c>
      <c r="J1079" s="2" t="s">
        <v>1246</v>
      </c>
      <c r="K1079" s="2"/>
      <c r="L1079" s="2" t="str">
        <f>IFERROR(VLOOKUP(IFERROR(VLOOKUP(C1079,'Destination Alias'!$A:$B,2,FALSE()),C1079),'Best Months'!$A:$B,2,FALSE()),"Not listed")</f>
        <v>Jan–Mar, Jul–Sep</v>
      </c>
    </row>
    <row r="1080" spans="1:19" x14ac:dyDescent="0.3">
      <c r="A1080" s="2" t="s">
        <v>1244</v>
      </c>
      <c r="B1080" s="2" t="s">
        <v>81</v>
      </c>
      <c r="C1080" s="2" t="s">
        <v>86</v>
      </c>
      <c r="D1080" s="3">
        <v>0.35416666666666702</v>
      </c>
      <c r="E1080" s="3">
        <v>0.52083333333333304</v>
      </c>
      <c r="F1080" s="2" t="s">
        <v>129</v>
      </c>
      <c r="G1080" s="2" t="s">
        <v>16</v>
      </c>
      <c r="H1080" s="2">
        <v>5</v>
      </c>
      <c r="I1080" s="2" t="s">
        <v>1245</v>
      </c>
      <c r="J1080" s="2" t="s">
        <v>1246</v>
      </c>
      <c r="K1080" s="2"/>
      <c r="L1080" s="2" t="str">
        <f>IFERROR(VLOOKUP(IFERROR(VLOOKUP(C1080,'Destination Alias'!$A:$B,2,FALSE()),C1080),'Best Months'!$A:$B,2,FALSE()),"Not listed")</f>
        <v>Jan–Mar, Jul–Sep</v>
      </c>
    </row>
    <row r="1081" spans="1:19" x14ac:dyDescent="0.3">
      <c r="A1081" s="2" t="s">
        <v>1244</v>
      </c>
      <c r="B1081" s="2" t="s">
        <v>81</v>
      </c>
      <c r="C1081" s="2" t="s">
        <v>86</v>
      </c>
      <c r="D1081" s="3">
        <v>0.41666666666666702</v>
      </c>
      <c r="E1081" s="3">
        <v>0.58333333333333304</v>
      </c>
      <c r="F1081" s="2" t="s">
        <v>129</v>
      </c>
      <c r="G1081" s="2" t="s">
        <v>20</v>
      </c>
      <c r="H1081" s="2">
        <v>5</v>
      </c>
      <c r="I1081" s="2" t="s">
        <v>1245</v>
      </c>
      <c r="J1081" s="2" t="s">
        <v>1246</v>
      </c>
      <c r="K1081" s="2"/>
      <c r="L1081" s="2" t="str">
        <f>IFERROR(VLOOKUP(IFERROR(VLOOKUP(C1081,'Destination Alias'!$A:$B,2,FALSE()),C1081),'Best Months'!$A:$B,2,FALSE()),"Not listed")</f>
        <v>Jan–Mar, Jul–Sep</v>
      </c>
    </row>
    <row r="1082" spans="1:19" x14ac:dyDescent="0.3">
      <c r="A1082" s="2" t="s">
        <v>1244</v>
      </c>
      <c r="B1082" s="2" t="s">
        <v>81</v>
      </c>
      <c r="C1082" s="2" t="s">
        <v>86</v>
      </c>
      <c r="D1082" s="3">
        <v>0.45833333333333298</v>
      </c>
      <c r="E1082" s="3">
        <v>0.625</v>
      </c>
      <c r="F1082" s="2" t="s">
        <v>129</v>
      </c>
      <c r="G1082" s="2" t="s">
        <v>220</v>
      </c>
      <c r="H1082" s="2">
        <v>3</v>
      </c>
      <c r="I1082" s="2" t="s">
        <v>1245</v>
      </c>
      <c r="J1082" s="2" t="s">
        <v>1246</v>
      </c>
      <c r="K1082" s="2"/>
      <c r="L1082" s="2" t="str">
        <f>IFERROR(VLOOKUP(IFERROR(VLOOKUP(C1082,'Destination Alias'!$A:$B,2,FALSE()),C1082),'Best Months'!$A:$B,2,FALSE()),"Not listed")</f>
        <v>Jan–Mar, Jul–Sep</v>
      </c>
    </row>
    <row r="1083" spans="1:19" x14ac:dyDescent="0.3">
      <c r="A1083" s="2" t="s">
        <v>1244</v>
      </c>
      <c r="B1083" s="2" t="s">
        <v>81</v>
      </c>
      <c r="C1083" s="2" t="s">
        <v>86</v>
      </c>
      <c r="D1083" s="3">
        <v>0.58333333333333304</v>
      </c>
      <c r="E1083" s="3">
        <v>0.75</v>
      </c>
      <c r="F1083" s="2" t="s">
        <v>129</v>
      </c>
      <c r="G1083" s="2" t="s">
        <v>199</v>
      </c>
      <c r="H1083" s="2">
        <v>5</v>
      </c>
      <c r="I1083" s="2" t="s">
        <v>1245</v>
      </c>
      <c r="J1083" s="2" t="s">
        <v>1246</v>
      </c>
      <c r="K1083" s="2"/>
      <c r="L1083" s="2" t="str">
        <f>IFERROR(VLOOKUP(IFERROR(VLOOKUP(C1083,'Destination Alias'!$A:$B,2,FALSE()),C1083),'Best Months'!$A:$B,2,FALSE()),"Not listed")</f>
        <v>Jan–Mar, Jul–Sep</v>
      </c>
    </row>
    <row r="1084" spans="1:19" x14ac:dyDescent="0.3">
      <c r="A1084" s="2" t="s">
        <v>1244</v>
      </c>
      <c r="B1084" s="2" t="s">
        <v>81</v>
      </c>
      <c r="C1084" s="2" t="s">
        <v>86</v>
      </c>
      <c r="D1084" s="3">
        <v>0.625</v>
      </c>
      <c r="E1084" s="3">
        <v>0.79166666666666696</v>
      </c>
      <c r="F1084" s="2" t="s">
        <v>129</v>
      </c>
      <c r="G1084" s="2" t="s">
        <v>73</v>
      </c>
      <c r="H1084" s="2">
        <v>5</v>
      </c>
      <c r="I1084" s="2" t="s">
        <v>1245</v>
      </c>
      <c r="J1084" s="2" t="s">
        <v>1246</v>
      </c>
      <c r="K1084" s="2"/>
      <c r="L1084" s="2" t="str">
        <f>IFERROR(VLOOKUP(IFERROR(VLOOKUP(C1084,'Destination Alias'!$A:$B,2,FALSE()),C1084),'Best Months'!$A:$B,2,FALSE()),"Not listed")</f>
        <v>Jan–Mar, Jul–Sep</v>
      </c>
    </row>
    <row r="1085" spans="1:19" x14ac:dyDescent="0.3">
      <c r="A1085" s="2" t="s">
        <v>1244</v>
      </c>
      <c r="B1085" s="2" t="s">
        <v>81</v>
      </c>
      <c r="C1085" s="2" t="s">
        <v>86</v>
      </c>
      <c r="D1085" s="3">
        <v>0.6875</v>
      </c>
      <c r="E1085" s="3">
        <v>0.85416666666666696</v>
      </c>
      <c r="F1085" s="2" t="s">
        <v>129</v>
      </c>
      <c r="G1085" s="2" t="s">
        <v>73</v>
      </c>
      <c r="H1085" s="2">
        <v>4</v>
      </c>
      <c r="I1085" s="2" t="s">
        <v>1245</v>
      </c>
      <c r="J1085" s="2" t="s">
        <v>1246</v>
      </c>
      <c r="K1085" s="2"/>
      <c r="L1085" s="2" t="str">
        <f>IFERROR(VLOOKUP(IFERROR(VLOOKUP(C1085,'Destination Alias'!$A:$B,2,FALSE()),C1085),'Best Months'!$A:$B,2,FALSE()),"Not listed")</f>
        <v>Jan–Mar, Jul–Sep</v>
      </c>
    </row>
    <row r="1086" spans="1:19" x14ac:dyDescent="0.3">
      <c r="A1086" s="2" t="s">
        <v>1244</v>
      </c>
      <c r="B1086" s="2" t="s">
        <v>81</v>
      </c>
      <c r="C1086" s="2" t="s">
        <v>86</v>
      </c>
      <c r="D1086" s="3">
        <v>0.72916666666666696</v>
      </c>
      <c r="E1086" s="3">
        <v>0.89583333333333304</v>
      </c>
      <c r="F1086" s="2" t="s">
        <v>129</v>
      </c>
      <c r="G1086" s="2" t="s">
        <v>52</v>
      </c>
      <c r="H1086" s="2">
        <v>2</v>
      </c>
      <c r="I1086" s="2" t="s">
        <v>1245</v>
      </c>
      <c r="J1086" s="2" t="s">
        <v>1246</v>
      </c>
      <c r="K1086" s="2"/>
      <c r="L1086" s="2" t="str">
        <f>IFERROR(VLOOKUP(IFERROR(VLOOKUP(C1086,'Destination Alias'!$A:$B,2,FALSE()),C1086),'Best Months'!$A:$B,2,FALSE()),"Not listed")</f>
        <v>Jan–Mar, Jul–Sep</v>
      </c>
    </row>
    <row r="1087" spans="1:19" x14ac:dyDescent="0.3">
      <c r="A1087" s="2" t="s">
        <v>1244</v>
      </c>
      <c r="B1087" s="2" t="s">
        <v>81</v>
      </c>
      <c r="C1087" s="2" t="s">
        <v>86</v>
      </c>
      <c r="D1087" s="3">
        <v>0.75</v>
      </c>
      <c r="E1087" s="3">
        <v>0.91666666666666696</v>
      </c>
      <c r="F1087" s="2" t="s">
        <v>129</v>
      </c>
      <c r="G1087" s="2" t="s">
        <v>102</v>
      </c>
      <c r="H1087" s="2">
        <v>4</v>
      </c>
      <c r="I1087" s="2" t="s">
        <v>1245</v>
      </c>
      <c r="J1087" s="2" t="s">
        <v>1246</v>
      </c>
      <c r="K1087" s="2"/>
      <c r="L1087" s="2" t="str">
        <f>IFERROR(VLOOKUP(IFERROR(VLOOKUP(C1087,'Destination Alias'!$A:$B,2,FALSE()),C1087),'Best Months'!$A:$B,2,FALSE()),"Not listed")</f>
        <v>Jan–Mar, Jul–Sep</v>
      </c>
    </row>
    <row r="1088" spans="1:19" x14ac:dyDescent="0.3">
      <c r="A1088" s="2" t="s">
        <v>1247</v>
      </c>
      <c r="B1088" s="2" t="s">
        <v>13</v>
      </c>
      <c r="C1088" s="2" t="s">
        <v>213</v>
      </c>
      <c r="D1088" s="3">
        <v>0.39583333333333298</v>
      </c>
      <c r="E1088" s="3">
        <v>0.45833333333333298</v>
      </c>
      <c r="F1088" s="2" t="s">
        <v>15</v>
      </c>
      <c r="G1088" s="2" t="s">
        <v>20</v>
      </c>
      <c r="H1088" s="2">
        <v>3.9</v>
      </c>
      <c r="I1088" s="2" t="s">
        <v>604</v>
      </c>
      <c r="J1088" s="2" t="s">
        <v>1248</v>
      </c>
      <c r="K1088" s="4" t="s">
        <v>1249</v>
      </c>
      <c r="L1088" s="2" t="str">
        <f>IFERROR(VLOOKUP(IFERROR(VLOOKUP(C1088,'Destination Alias'!$A:$B,2,FALSE()),C1088),'Best Months'!$A:$B,2,FALSE()),"Not listed")</f>
        <v>Jan–Mar</v>
      </c>
      <c r="S1088" t="s">
        <v>1249</v>
      </c>
    </row>
    <row r="1089" spans="1:19" x14ac:dyDescent="0.3">
      <c r="A1089" s="2" t="s">
        <v>1250</v>
      </c>
      <c r="B1089" s="2" t="s">
        <v>81</v>
      </c>
      <c r="C1089" s="2" t="s">
        <v>14</v>
      </c>
      <c r="D1089" s="3">
        <v>0.25</v>
      </c>
      <c r="E1089" s="3">
        <v>0.33333333333333298</v>
      </c>
      <c r="F1089" s="2" t="s">
        <v>51</v>
      </c>
      <c r="G1089" s="2" t="s">
        <v>28</v>
      </c>
      <c r="H1089" s="2">
        <v>4.5999999999999996</v>
      </c>
      <c r="I1089" s="2" t="s">
        <v>1251</v>
      </c>
      <c r="J1089" s="2" t="s">
        <v>1252</v>
      </c>
      <c r="K1089" s="4" t="s">
        <v>1253</v>
      </c>
      <c r="L1089" s="2" t="str">
        <f>IFERROR(VLOOKUP(IFERROR(VLOOKUP(C1089,'Destination Alias'!$A:$B,2,FALSE()),C1089),'Best Months'!$A:$B,2,FALSE()),"Not listed")</f>
        <v>Dec–Mar</v>
      </c>
      <c r="S1089" t="s">
        <v>1253</v>
      </c>
    </row>
    <row r="1090" spans="1:19" x14ac:dyDescent="0.3">
      <c r="A1090" s="2" t="s">
        <v>1254</v>
      </c>
      <c r="B1090" s="2" t="s">
        <v>22</v>
      </c>
      <c r="C1090" s="2" t="s">
        <v>50</v>
      </c>
      <c r="D1090" s="3">
        <v>0.33333333333333298</v>
      </c>
      <c r="E1090" s="3">
        <v>0.36458333333333298</v>
      </c>
      <c r="F1090" s="2" t="s">
        <v>90</v>
      </c>
      <c r="G1090" s="2" t="s">
        <v>16</v>
      </c>
      <c r="H1090" s="2">
        <v>4.5999999999999996</v>
      </c>
      <c r="I1090" s="2" t="s">
        <v>1255</v>
      </c>
      <c r="J1090" s="2" t="s">
        <v>1256</v>
      </c>
      <c r="K1090" s="2"/>
      <c r="L1090" s="2" t="str">
        <f>IFERROR(VLOOKUP(IFERROR(VLOOKUP(C1090,'Destination Alias'!$A:$B,2,FALSE()),C1090),'Best Months'!$A:$B,2,FALSE()),"Not listed")</f>
        <v>Dec–Mar</v>
      </c>
    </row>
    <row r="1091" spans="1:19" x14ac:dyDescent="0.3">
      <c r="A1091" s="2" t="s">
        <v>1254</v>
      </c>
      <c r="B1091" s="2" t="s">
        <v>22</v>
      </c>
      <c r="C1091" s="2" t="s">
        <v>50</v>
      </c>
      <c r="D1091" s="3">
        <v>0.36458333333333298</v>
      </c>
      <c r="E1091" s="3">
        <v>0.39583333333333298</v>
      </c>
      <c r="F1091" s="2" t="s">
        <v>90</v>
      </c>
      <c r="G1091" s="2" t="s">
        <v>16</v>
      </c>
      <c r="H1091" s="2">
        <v>4.5999999999999996</v>
      </c>
      <c r="I1091" s="2" t="s">
        <v>1255</v>
      </c>
      <c r="J1091" s="2" t="s">
        <v>1256</v>
      </c>
      <c r="K1091" s="2"/>
      <c r="L1091" s="2" t="str">
        <f>IFERROR(VLOOKUP(IFERROR(VLOOKUP(C1091,'Destination Alias'!$A:$B,2,FALSE()),C1091),'Best Months'!$A:$B,2,FALSE()),"Not listed")</f>
        <v>Dec–Mar</v>
      </c>
    </row>
    <row r="1092" spans="1:19" x14ac:dyDescent="0.3">
      <c r="A1092" s="2" t="s">
        <v>1254</v>
      </c>
      <c r="B1092" s="2" t="s">
        <v>22</v>
      </c>
      <c r="C1092" s="2" t="s">
        <v>50</v>
      </c>
      <c r="D1092" s="3">
        <v>0.39583333333333298</v>
      </c>
      <c r="E1092" s="3">
        <v>0.42708333333333298</v>
      </c>
      <c r="F1092" s="2" t="s">
        <v>90</v>
      </c>
      <c r="G1092" s="2" t="s">
        <v>20</v>
      </c>
      <c r="H1092" s="2">
        <v>4.5999999999999996</v>
      </c>
      <c r="I1092" s="2" t="s">
        <v>1255</v>
      </c>
      <c r="J1092" s="2" t="s">
        <v>1256</v>
      </c>
      <c r="K1092" s="2"/>
      <c r="L1092" s="2" t="str">
        <f>IFERROR(VLOOKUP(IFERROR(VLOOKUP(C1092,'Destination Alias'!$A:$B,2,FALSE()),C1092),'Best Months'!$A:$B,2,FALSE()),"Not listed")</f>
        <v>Dec–Mar</v>
      </c>
    </row>
    <row r="1093" spans="1:19" x14ac:dyDescent="0.3">
      <c r="A1093" s="2" t="s">
        <v>1254</v>
      </c>
      <c r="B1093" s="2" t="s">
        <v>22</v>
      </c>
      <c r="C1093" s="2" t="s">
        <v>50</v>
      </c>
      <c r="D1093" s="3">
        <v>0.42708333333333298</v>
      </c>
      <c r="E1093" s="3">
        <v>0.45833333333333298</v>
      </c>
      <c r="F1093" s="2" t="s">
        <v>90</v>
      </c>
      <c r="G1093" s="2" t="s">
        <v>20</v>
      </c>
      <c r="H1093" s="2">
        <v>4.5999999999999996</v>
      </c>
      <c r="I1093" s="2" t="s">
        <v>1255</v>
      </c>
      <c r="J1093" s="2" t="s">
        <v>1256</v>
      </c>
      <c r="K1093" s="2"/>
      <c r="L1093" s="2" t="str">
        <f>IFERROR(VLOOKUP(IFERROR(VLOOKUP(C1093,'Destination Alias'!$A:$B,2,FALSE()),C1093),'Best Months'!$A:$B,2,FALSE()),"Not listed")</f>
        <v>Dec–Mar</v>
      </c>
    </row>
    <row r="1094" spans="1:19" x14ac:dyDescent="0.3">
      <c r="A1094" s="2" t="s">
        <v>1257</v>
      </c>
      <c r="B1094" s="2" t="s">
        <v>13</v>
      </c>
      <c r="C1094" s="2" t="s">
        <v>44</v>
      </c>
      <c r="D1094" s="3">
        <v>0.25</v>
      </c>
      <c r="E1094" s="3">
        <v>0.375</v>
      </c>
      <c r="F1094" s="2" t="s">
        <v>61</v>
      </c>
      <c r="G1094" s="2" t="s">
        <v>28</v>
      </c>
      <c r="H1094" s="2">
        <v>4.4000000000000004</v>
      </c>
      <c r="I1094" s="2" t="s">
        <v>1258</v>
      </c>
      <c r="J1094" s="2" t="s">
        <v>1259</v>
      </c>
      <c r="K1094" s="4" t="s">
        <v>1260</v>
      </c>
      <c r="L1094" s="2" t="str">
        <f>IFERROR(VLOOKUP(IFERROR(VLOOKUP(C1094,'Destination Alias'!$A:$B,2,FALSE()),C1094),'Best Months'!$A:$B,2,FALSE()),"Not listed")</f>
        <v>Jan–Mar, Jul–Sep</v>
      </c>
      <c r="S1094" t="s">
        <v>1260</v>
      </c>
    </row>
    <row r="1095" spans="1:19" ht="409.6" x14ac:dyDescent="0.3">
      <c r="A1095" s="2" t="s">
        <v>1261</v>
      </c>
      <c r="B1095" s="2" t="s">
        <v>81</v>
      </c>
      <c r="C1095" s="2" t="s">
        <v>14</v>
      </c>
      <c r="D1095" s="3">
        <v>0.20833333333333301</v>
      </c>
      <c r="E1095" s="3">
        <v>0.375</v>
      </c>
      <c r="F1095" s="2" t="s">
        <v>129</v>
      </c>
      <c r="G1095" s="2" t="s">
        <v>28</v>
      </c>
      <c r="H1095" s="2">
        <v>5</v>
      </c>
      <c r="I1095" s="2" t="s">
        <v>1262</v>
      </c>
      <c r="J1095" s="5" t="s">
        <v>1263</v>
      </c>
      <c r="K1095" s="2"/>
      <c r="L1095" s="2" t="str">
        <f>IFERROR(VLOOKUP(IFERROR(VLOOKUP(C1095,'Destination Alias'!$A:$B,2,FALSE()),C1095),'Best Months'!$A:$B,2,FALSE()),"Not listed")</f>
        <v>Dec–Mar</v>
      </c>
    </row>
    <row r="1096" spans="1:19" ht="409.6" x14ac:dyDescent="0.3">
      <c r="A1096" s="2" t="s">
        <v>1261</v>
      </c>
      <c r="B1096" s="2" t="s">
        <v>81</v>
      </c>
      <c r="C1096" s="2" t="s">
        <v>14</v>
      </c>
      <c r="D1096" s="3">
        <v>0.25</v>
      </c>
      <c r="E1096" s="3">
        <v>0.33333333333333298</v>
      </c>
      <c r="F1096" s="2" t="s">
        <v>129</v>
      </c>
      <c r="G1096" s="2" t="s">
        <v>28</v>
      </c>
      <c r="H1096" s="2">
        <v>4.7</v>
      </c>
      <c r="I1096" s="2" t="s">
        <v>1262</v>
      </c>
      <c r="J1096" s="5" t="s">
        <v>1263</v>
      </c>
      <c r="K1096" s="2"/>
      <c r="L1096" s="2" t="str">
        <f>IFERROR(VLOOKUP(IFERROR(VLOOKUP(C1096,'Destination Alias'!$A:$B,2,FALSE()),C1096),'Best Months'!$A:$B,2,FALSE()),"Not listed")</f>
        <v>Dec–Mar</v>
      </c>
    </row>
    <row r="1097" spans="1:19" ht="409.6" x14ac:dyDescent="0.3">
      <c r="A1097" s="2" t="s">
        <v>1261</v>
      </c>
      <c r="B1097" s="2" t="s">
        <v>81</v>
      </c>
      <c r="C1097" s="2" t="s">
        <v>14</v>
      </c>
      <c r="D1097" s="3">
        <v>0.66666666666666696</v>
      </c>
      <c r="E1097" s="3">
        <v>0.75</v>
      </c>
      <c r="F1097" s="2" t="s">
        <v>129</v>
      </c>
      <c r="G1097" s="2" t="s">
        <v>73</v>
      </c>
      <c r="H1097" s="2">
        <v>4.7</v>
      </c>
      <c r="I1097" s="2" t="s">
        <v>1262</v>
      </c>
      <c r="J1097" s="5" t="s">
        <v>1263</v>
      </c>
      <c r="K1097" s="2"/>
      <c r="L1097" s="2" t="str">
        <f>IFERROR(VLOOKUP(IFERROR(VLOOKUP(C1097,'Destination Alias'!$A:$B,2,FALSE()),C1097),'Best Months'!$A:$B,2,FALSE()),"Not listed")</f>
        <v>Dec–Mar</v>
      </c>
    </row>
    <row r="1098" spans="1:19" ht="409.6" x14ac:dyDescent="0.3">
      <c r="A1098" s="2" t="s">
        <v>1261</v>
      </c>
      <c r="B1098" s="2" t="s">
        <v>81</v>
      </c>
      <c r="C1098" s="2" t="s">
        <v>14</v>
      </c>
      <c r="D1098" s="3">
        <v>0.22916666666666699</v>
      </c>
      <c r="E1098" s="3">
        <v>0.39583333333333298</v>
      </c>
      <c r="F1098" s="2" t="s">
        <v>129</v>
      </c>
      <c r="G1098" s="2" t="s">
        <v>28</v>
      </c>
      <c r="H1098" s="2">
        <v>4.7</v>
      </c>
      <c r="I1098" s="2" t="s">
        <v>1262</v>
      </c>
      <c r="J1098" s="5" t="s">
        <v>1263</v>
      </c>
      <c r="K1098" s="2"/>
      <c r="L1098" s="2" t="str">
        <f>IFERROR(VLOOKUP(IFERROR(VLOOKUP(C1098,'Destination Alias'!$A:$B,2,FALSE()),C1098),'Best Months'!$A:$B,2,FALSE()),"Not listed")</f>
        <v>Dec–Mar</v>
      </c>
    </row>
    <row r="1099" spans="1:19" x14ac:dyDescent="0.3">
      <c r="A1099" s="2" t="s">
        <v>1264</v>
      </c>
      <c r="B1099" s="2" t="s">
        <v>22</v>
      </c>
      <c r="C1099" s="2" t="s">
        <v>530</v>
      </c>
      <c r="D1099" s="3">
        <v>0.29166666666666702</v>
      </c>
      <c r="E1099" s="3">
        <v>0.41666666666666702</v>
      </c>
      <c r="F1099" s="2" t="s">
        <v>51</v>
      </c>
      <c r="G1099" s="2" t="s">
        <v>38</v>
      </c>
      <c r="H1099" s="2">
        <v>4.4000000000000004</v>
      </c>
      <c r="I1099" s="2" t="s">
        <v>1265</v>
      </c>
      <c r="J1099" s="2" t="s">
        <v>1266</v>
      </c>
      <c r="K1099" s="2"/>
      <c r="L1099" s="2" t="str">
        <f>IFERROR(VLOOKUP(IFERROR(VLOOKUP(C1099,'Destination Alias'!$A:$B,2,FALSE()),C1099),'Best Months'!$A:$B,2,FALSE()),"Not listed")</f>
        <v>Jan–Mar, Jul–Sep</v>
      </c>
    </row>
    <row r="1100" spans="1:19" x14ac:dyDescent="0.3">
      <c r="A1100" s="2" t="s">
        <v>1264</v>
      </c>
      <c r="B1100" s="2" t="s">
        <v>22</v>
      </c>
      <c r="C1100" s="2" t="s">
        <v>530</v>
      </c>
      <c r="D1100" s="3">
        <v>0.29166666666666702</v>
      </c>
      <c r="E1100" s="3">
        <v>0.375</v>
      </c>
      <c r="F1100" s="2" t="s">
        <v>51</v>
      </c>
      <c r="G1100" s="2" t="s">
        <v>38</v>
      </c>
      <c r="H1100" s="2">
        <v>4.4000000000000004</v>
      </c>
      <c r="I1100" s="2" t="s">
        <v>1265</v>
      </c>
      <c r="J1100" s="2" t="s">
        <v>1266</v>
      </c>
      <c r="K1100" s="2"/>
      <c r="L1100" s="2" t="str">
        <f>IFERROR(VLOOKUP(IFERROR(VLOOKUP(C1100,'Destination Alias'!$A:$B,2,FALSE()),C1100),'Best Months'!$A:$B,2,FALSE()),"Not listed")</f>
        <v>Jan–Mar, Jul–Sep</v>
      </c>
    </row>
    <row r="1101" spans="1:19" x14ac:dyDescent="0.3">
      <c r="A1101" s="2" t="s">
        <v>1267</v>
      </c>
      <c r="B1101" s="2" t="s">
        <v>22</v>
      </c>
      <c r="C1101" s="2" t="s">
        <v>163</v>
      </c>
      <c r="D1101" s="3">
        <v>0.29166666666666702</v>
      </c>
      <c r="E1101" s="3">
        <v>0.35416666666666702</v>
      </c>
      <c r="F1101" s="2" t="s">
        <v>15</v>
      </c>
      <c r="G1101" s="2" t="s">
        <v>38</v>
      </c>
      <c r="H1101" s="2">
        <v>4.5999999999999996</v>
      </c>
      <c r="I1101" s="2" t="s">
        <v>1268</v>
      </c>
      <c r="J1101" s="2" t="s">
        <v>1269</v>
      </c>
      <c r="K1101" s="4" t="s">
        <v>1270</v>
      </c>
      <c r="L1101" s="2" t="str">
        <f>IFERROR(VLOOKUP(IFERROR(VLOOKUP(C1101,'Destination Alias'!$A:$B,2,FALSE()),C1101),'Best Months'!$A:$B,2,FALSE()),"Not listed")</f>
        <v>Dec–Mar</v>
      </c>
      <c r="S1101" t="s">
        <v>1270</v>
      </c>
    </row>
    <row r="1102" spans="1:19" x14ac:dyDescent="0.3">
      <c r="A1102" s="2" t="s">
        <v>1267</v>
      </c>
      <c r="B1102" s="2" t="s">
        <v>22</v>
      </c>
      <c r="C1102" s="2" t="s">
        <v>163</v>
      </c>
      <c r="D1102" s="3">
        <v>0.35416666666666702</v>
      </c>
      <c r="E1102" s="3">
        <v>0.41666666666666702</v>
      </c>
      <c r="F1102" s="2" t="s">
        <v>15</v>
      </c>
      <c r="G1102" s="2" t="s">
        <v>16</v>
      </c>
      <c r="H1102" s="2">
        <v>4.5999999999999996</v>
      </c>
      <c r="I1102" s="2" t="s">
        <v>1268</v>
      </c>
      <c r="J1102" s="2" t="s">
        <v>1269</v>
      </c>
      <c r="K1102" s="4" t="s">
        <v>1270</v>
      </c>
      <c r="L1102" s="2" t="str">
        <f>IFERROR(VLOOKUP(IFERROR(VLOOKUP(C1102,'Destination Alias'!$A:$B,2,FALSE()),C1102),'Best Months'!$A:$B,2,FALSE()),"Not listed")</f>
        <v>Dec–Mar</v>
      </c>
      <c r="S1102" t="s">
        <v>1270</v>
      </c>
    </row>
    <row r="1103" spans="1:19" x14ac:dyDescent="0.3">
      <c r="A1103" s="2" t="s">
        <v>1271</v>
      </c>
      <c r="B1103" s="2" t="s">
        <v>49</v>
      </c>
      <c r="C1103" s="2" t="s">
        <v>14</v>
      </c>
      <c r="D1103" s="3">
        <v>0.70833333333333304</v>
      </c>
      <c r="E1103" s="3">
        <v>0.75</v>
      </c>
      <c r="F1103" s="2" t="s">
        <v>35</v>
      </c>
      <c r="G1103" s="2" t="s">
        <v>52</v>
      </c>
      <c r="H1103" s="2">
        <v>4.7</v>
      </c>
      <c r="I1103" s="2" t="s">
        <v>1272</v>
      </c>
      <c r="J1103" s="2" t="s">
        <v>1273</v>
      </c>
      <c r="K1103" s="4" t="s">
        <v>1274</v>
      </c>
      <c r="L1103" s="2" t="str">
        <f>IFERROR(VLOOKUP(IFERROR(VLOOKUP(C1103,'Destination Alias'!$A:$B,2,FALSE()),C1103),'Best Months'!$A:$B,2,FALSE()),"Not listed")</f>
        <v>Dec–Mar</v>
      </c>
      <c r="S1103" t="s">
        <v>1274</v>
      </c>
    </row>
    <row r="1104" spans="1:19" x14ac:dyDescent="0.3">
      <c r="A1104" s="2" t="s">
        <v>1271</v>
      </c>
      <c r="B1104" s="2" t="s">
        <v>49</v>
      </c>
      <c r="C1104" s="2" t="s">
        <v>14</v>
      </c>
      <c r="D1104" s="3">
        <v>0.75</v>
      </c>
      <c r="E1104" s="3">
        <v>0.79166666666666696</v>
      </c>
      <c r="F1104" s="2" t="s">
        <v>35</v>
      </c>
      <c r="G1104" s="2" t="s">
        <v>102</v>
      </c>
      <c r="H1104" s="2">
        <v>4.7</v>
      </c>
      <c r="I1104" s="2" t="s">
        <v>1272</v>
      </c>
      <c r="J1104" s="2" t="s">
        <v>1273</v>
      </c>
      <c r="K1104" s="4" t="s">
        <v>1274</v>
      </c>
      <c r="L1104" s="2" t="str">
        <f>IFERROR(VLOOKUP(IFERROR(VLOOKUP(C1104,'Destination Alias'!$A:$B,2,FALSE()),C1104),'Best Months'!$A:$B,2,FALSE()),"Not listed")</f>
        <v>Dec–Mar</v>
      </c>
      <c r="S1104" t="s">
        <v>1274</v>
      </c>
    </row>
    <row r="1105" spans="1:19" x14ac:dyDescent="0.3">
      <c r="A1105" s="2" t="s">
        <v>1275</v>
      </c>
      <c r="B1105" s="2" t="s">
        <v>241</v>
      </c>
      <c r="C1105" s="2" t="s">
        <v>123</v>
      </c>
      <c r="D1105" s="3">
        <v>0.66666666666666696</v>
      </c>
      <c r="E1105" s="3">
        <v>0.75</v>
      </c>
      <c r="F1105" s="2" t="s">
        <v>51</v>
      </c>
      <c r="G1105" s="2" t="s">
        <v>73</v>
      </c>
      <c r="H1105" s="2">
        <v>4.0999999999999996</v>
      </c>
      <c r="I1105" s="2" t="s">
        <v>1276</v>
      </c>
      <c r="J1105" s="2" t="s">
        <v>1277</v>
      </c>
      <c r="K1105" s="4" t="s">
        <v>1278</v>
      </c>
      <c r="L1105" s="2" t="str">
        <f>IFERROR(VLOOKUP(IFERROR(VLOOKUP(C1105,'Destination Alias'!$A:$B,2,FALSE()),C1105),'Best Months'!$A:$B,2,FALSE()),"Not listed")</f>
        <v>Dec–Mar</v>
      </c>
      <c r="S1105" t="s">
        <v>1278</v>
      </c>
    </row>
  </sheetData>
  <autoFilter ref="A1:L1105" xr:uid="{00000000-0009-0000-0000-000000000000}"/>
  <hyperlinks>
    <hyperlink ref="S18" r:id="rId1" xr:uid="{00000000-0004-0000-0000-000000000000}"/>
    <hyperlink ref="S19" r:id="rId2" xr:uid="{00000000-0004-0000-0000-000001000000}"/>
    <hyperlink ref="S20" r:id="rId3" xr:uid="{00000000-0004-0000-0000-000002000000}"/>
    <hyperlink ref="S22" r:id="rId4" xr:uid="{00000000-0004-0000-0000-000003000000}"/>
    <hyperlink ref="S23" r:id="rId5" xr:uid="{00000000-0004-0000-0000-000004000000}"/>
    <hyperlink ref="S24" r:id="rId6" xr:uid="{00000000-0004-0000-0000-000005000000}"/>
    <hyperlink ref="S25" r:id="rId7" xr:uid="{00000000-0004-0000-0000-000006000000}"/>
    <hyperlink ref="S26" r:id="rId8" xr:uid="{00000000-0004-0000-0000-000007000000}"/>
    <hyperlink ref="S27" r:id="rId9" xr:uid="{00000000-0004-0000-0000-000008000000}"/>
    <hyperlink ref="S30" r:id="rId10" xr:uid="{00000000-0004-0000-0000-000009000000}"/>
    <hyperlink ref="S33" r:id="rId11" xr:uid="{00000000-0004-0000-0000-00000A000000}"/>
    <hyperlink ref="S34" r:id="rId12" xr:uid="{00000000-0004-0000-0000-00000B000000}"/>
    <hyperlink ref="S35" r:id="rId13" xr:uid="{00000000-0004-0000-0000-00000C000000}"/>
    <hyperlink ref="S36" r:id="rId14" xr:uid="{00000000-0004-0000-0000-00000D000000}"/>
    <hyperlink ref="S37" r:id="rId15" xr:uid="{00000000-0004-0000-0000-00000E000000}"/>
    <hyperlink ref="S38" r:id="rId16" xr:uid="{00000000-0004-0000-0000-00000F000000}"/>
    <hyperlink ref="S39" r:id="rId17" xr:uid="{00000000-0004-0000-0000-000010000000}"/>
    <hyperlink ref="S44" r:id="rId18" xr:uid="{00000000-0004-0000-0000-000011000000}"/>
    <hyperlink ref="S45" r:id="rId19" xr:uid="{00000000-0004-0000-0000-000012000000}"/>
    <hyperlink ref="S46" r:id="rId20" xr:uid="{00000000-0004-0000-0000-000013000000}"/>
    <hyperlink ref="S55" r:id="rId21" xr:uid="{00000000-0004-0000-0000-000014000000}"/>
    <hyperlink ref="S56" r:id="rId22" xr:uid="{00000000-0004-0000-0000-000015000000}"/>
    <hyperlink ref="S57" r:id="rId23" xr:uid="{00000000-0004-0000-0000-000016000000}"/>
    <hyperlink ref="S58" r:id="rId24" xr:uid="{00000000-0004-0000-0000-000017000000}"/>
    <hyperlink ref="S59" r:id="rId25" xr:uid="{00000000-0004-0000-0000-000018000000}"/>
    <hyperlink ref="S67" r:id="rId26" xr:uid="{00000000-0004-0000-0000-000019000000}"/>
    <hyperlink ref="S68" r:id="rId27" xr:uid="{00000000-0004-0000-0000-00001A000000}"/>
    <hyperlink ref="S69" r:id="rId28" xr:uid="{00000000-0004-0000-0000-00001B000000}"/>
    <hyperlink ref="S70" r:id="rId29" xr:uid="{00000000-0004-0000-0000-00001C000000}"/>
    <hyperlink ref="S71" r:id="rId30" xr:uid="{00000000-0004-0000-0000-00001D000000}"/>
    <hyperlink ref="S72" r:id="rId31" xr:uid="{00000000-0004-0000-0000-00001E000000}"/>
    <hyperlink ref="S73" r:id="rId32" xr:uid="{00000000-0004-0000-0000-00001F000000}"/>
    <hyperlink ref="S74" r:id="rId33" xr:uid="{00000000-0004-0000-0000-000020000000}"/>
    <hyperlink ref="S75" r:id="rId34" xr:uid="{00000000-0004-0000-0000-000021000000}"/>
    <hyperlink ref="S76" r:id="rId35" xr:uid="{00000000-0004-0000-0000-000022000000}"/>
    <hyperlink ref="S77" r:id="rId36" xr:uid="{00000000-0004-0000-0000-000023000000}"/>
    <hyperlink ref="S78" r:id="rId37" xr:uid="{00000000-0004-0000-0000-000024000000}"/>
    <hyperlink ref="S79" r:id="rId38" xr:uid="{00000000-0004-0000-0000-000025000000}"/>
    <hyperlink ref="S80" r:id="rId39" xr:uid="{00000000-0004-0000-0000-000026000000}"/>
    <hyperlink ref="S81" r:id="rId40" xr:uid="{00000000-0004-0000-0000-000027000000}"/>
    <hyperlink ref="S82" r:id="rId41" xr:uid="{00000000-0004-0000-0000-000028000000}"/>
    <hyperlink ref="S83" r:id="rId42" xr:uid="{00000000-0004-0000-0000-000029000000}"/>
    <hyperlink ref="S84" r:id="rId43" xr:uid="{00000000-0004-0000-0000-00002A000000}"/>
    <hyperlink ref="S85" r:id="rId44" xr:uid="{00000000-0004-0000-0000-00002B000000}"/>
    <hyperlink ref="S86" r:id="rId45" xr:uid="{00000000-0004-0000-0000-00002C000000}"/>
    <hyperlink ref="S87" r:id="rId46" xr:uid="{00000000-0004-0000-0000-00002D000000}"/>
    <hyperlink ref="S88" r:id="rId47" xr:uid="{00000000-0004-0000-0000-00002E000000}"/>
    <hyperlink ref="S102" r:id="rId48" xr:uid="{00000000-0004-0000-0000-00002F000000}"/>
    <hyperlink ref="S103" r:id="rId49" xr:uid="{00000000-0004-0000-0000-000030000000}"/>
    <hyperlink ref="S104" r:id="rId50" xr:uid="{00000000-0004-0000-0000-000031000000}"/>
    <hyperlink ref="S105" r:id="rId51" xr:uid="{00000000-0004-0000-0000-000032000000}"/>
    <hyperlink ref="S106" r:id="rId52" xr:uid="{00000000-0004-0000-0000-000033000000}"/>
    <hyperlink ref="S107" r:id="rId53" xr:uid="{00000000-0004-0000-0000-000034000000}"/>
    <hyperlink ref="S108" r:id="rId54" xr:uid="{00000000-0004-0000-0000-000035000000}"/>
    <hyperlink ref="S109" r:id="rId55" xr:uid="{00000000-0004-0000-0000-000036000000}"/>
    <hyperlink ref="S110" r:id="rId56" xr:uid="{00000000-0004-0000-0000-000037000000}"/>
    <hyperlink ref="S111" r:id="rId57" xr:uid="{00000000-0004-0000-0000-000038000000}"/>
    <hyperlink ref="S112" r:id="rId58" xr:uid="{00000000-0004-0000-0000-000039000000}"/>
    <hyperlink ref="S117" r:id="rId59" xr:uid="{00000000-0004-0000-0000-00003E000000}"/>
    <hyperlink ref="S118" r:id="rId60" xr:uid="{00000000-0004-0000-0000-000040000000}"/>
    <hyperlink ref="S119" r:id="rId61" xr:uid="{00000000-0004-0000-0000-000041000000}"/>
    <hyperlink ref="S120" r:id="rId62" xr:uid="{00000000-0004-0000-0000-000048000000}"/>
    <hyperlink ref="S121" r:id="rId63" xr:uid="{00000000-0004-0000-0000-00004E000000}"/>
    <hyperlink ref="S122" r:id="rId64" xr:uid="{00000000-0004-0000-0000-000050000000}"/>
    <hyperlink ref="S123" r:id="rId65" xr:uid="{00000000-0004-0000-0000-000051000000}"/>
    <hyperlink ref="S124" r:id="rId66" xr:uid="{00000000-0004-0000-0000-000052000000}"/>
    <hyperlink ref="S125" r:id="rId67" xr:uid="{00000000-0004-0000-0000-000053000000}"/>
    <hyperlink ref="S126" r:id="rId68" xr:uid="{00000000-0004-0000-0000-000054000000}"/>
    <hyperlink ref="S127" r:id="rId69" xr:uid="{00000000-0004-0000-0000-000055000000}"/>
    <hyperlink ref="S128" r:id="rId70" xr:uid="{00000000-0004-0000-0000-000056000000}"/>
    <hyperlink ref="S129" r:id="rId71" xr:uid="{00000000-0004-0000-0000-000057000000}"/>
    <hyperlink ref="S130" r:id="rId72" xr:uid="{00000000-0004-0000-0000-000058000000}"/>
    <hyperlink ref="S133" r:id="rId73" xr:uid="{00000000-0004-0000-0000-000059000000}"/>
    <hyperlink ref="S134" r:id="rId74" xr:uid="{00000000-0004-0000-0000-00005A000000}"/>
    <hyperlink ref="S135" r:id="rId75" xr:uid="{00000000-0004-0000-0000-00005B000000}"/>
    <hyperlink ref="S152" r:id="rId76" xr:uid="{00000000-0004-0000-0000-00005C000000}"/>
    <hyperlink ref="S153" r:id="rId77" xr:uid="{00000000-0004-0000-0000-00005D000000}"/>
    <hyperlink ref="S154" r:id="rId78" xr:uid="{00000000-0004-0000-0000-00005E000000}"/>
    <hyperlink ref="S155" r:id="rId79" xr:uid="{00000000-0004-0000-0000-00005F000000}"/>
    <hyperlink ref="S156" r:id="rId80" xr:uid="{00000000-0004-0000-0000-000060000000}"/>
    <hyperlink ref="S157" r:id="rId81" xr:uid="{00000000-0004-0000-0000-000061000000}"/>
    <hyperlink ref="S158" r:id="rId82" xr:uid="{00000000-0004-0000-0000-000062000000}"/>
    <hyperlink ref="S170" r:id="rId83" xr:uid="{00000000-0004-0000-0000-00006B000000}"/>
    <hyperlink ref="S171" r:id="rId84" xr:uid="{00000000-0004-0000-0000-00006C000000}"/>
    <hyperlink ref="S172" r:id="rId85" xr:uid="{00000000-0004-0000-0000-00006D000000}"/>
    <hyperlink ref="S173" r:id="rId86" xr:uid="{00000000-0004-0000-0000-00006E000000}"/>
    <hyperlink ref="S174" r:id="rId87" xr:uid="{00000000-0004-0000-0000-00006F000000}"/>
    <hyperlink ref="S175" r:id="rId88" xr:uid="{00000000-0004-0000-0000-000074000000}"/>
    <hyperlink ref="S176" r:id="rId89" xr:uid="{00000000-0004-0000-0000-000075000000}"/>
    <hyperlink ref="S177" r:id="rId90" xr:uid="{00000000-0004-0000-0000-000076000000}"/>
    <hyperlink ref="S178" r:id="rId91" xr:uid="{00000000-0004-0000-0000-00007E000000}"/>
    <hyperlink ref="S179" r:id="rId92" xr:uid="{00000000-0004-0000-0000-00007F000000}"/>
    <hyperlink ref="S180" r:id="rId93" xr:uid="{00000000-0004-0000-0000-000080000000}"/>
    <hyperlink ref="S181" r:id="rId94" xr:uid="{00000000-0004-0000-0000-000081000000}"/>
    <hyperlink ref="S202" r:id="rId95" xr:uid="{00000000-0004-0000-0000-000082000000}"/>
    <hyperlink ref="S203" r:id="rId96" xr:uid="{00000000-0004-0000-0000-000083000000}"/>
    <hyperlink ref="S204" r:id="rId97" xr:uid="{00000000-0004-0000-0000-000084000000}"/>
    <hyperlink ref="S210" r:id="rId98" xr:uid="{00000000-0004-0000-0000-000085000000}"/>
    <hyperlink ref="S211" r:id="rId99" xr:uid="{00000000-0004-0000-0000-000086000000}"/>
    <hyperlink ref="S212" r:id="rId100" xr:uid="{00000000-0004-0000-0000-000087000000}"/>
    <hyperlink ref="S213" r:id="rId101" xr:uid="{00000000-0004-0000-0000-000088000000}"/>
    <hyperlink ref="S214" r:id="rId102" xr:uid="{00000000-0004-0000-0000-000089000000}"/>
    <hyperlink ref="S215" r:id="rId103" xr:uid="{00000000-0004-0000-0000-00008A000000}"/>
    <hyperlink ref="S216" r:id="rId104" xr:uid="{00000000-0004-0000-0000-00008B000000}"/>
    <hyperlink ref="S218" r:id="rId105" xr:uid="{00000000-0004-0000-0000-00008D000000}"/>
    <hyperlink ref="S219" r:id="rId106" xr:uid="{00000000-0004-0000-0000-00008E000000}"/>
    <hyperlink ref="S220" r:id="rId107" xr:uid="{00000000-0004-0000-0000-00008F000000}"/>
    <hyperlink ref="S221" r:id="rId108" xr:uid="{00000000-0004-0000-0000-000093000000}"/>
    <hyperlink ref="S225" r:id="rId109" xr:uid="{00000000-0004-0000-0000-000094000000}"/>
    <hyperlink ref="S226" r:id="rId110" xr:uid="{00000000-0004-0000-0000-000095000000}"/>
    <hyperlink ref="S227" r:id="rId111" xr:uid="{00000000-0004-0000-0000-000096000000}"/>
    <hyperlink ref="S231" r:id="rId112" xr:uid="{00000000-0004-0000-0000-000097000000}"/>
    <hyperlink ref="S232" r:id="rId113" xr:uid="{00000000-0004-0000-0000-000098000000}"/>
    <hyperlink ref="S233" r:id="rId114" xr:uid="{00000000-0004-0000-0000-000099000000}"/>
    <hyperlink ref="S234" r:id="rId115" xr:uid="{00000000-0004-0000-0000-00009A000000}"/>
    <hyperlink ref="S235" r:id="rId116" xr:uid="{00000000-0004-0000-0000-00009B000000}"/>
    <hyperlink ref="S236" r:id="rId117" xr:uid="{00000000-0004-0000-0000-00009C000000}"/>
    <hyperlink ref="S237" r:id="rId118" xr:uid="{00000000-0004-0000-0000-00009D000000}"/>
    <hyperlink ref="S241" r:id="rId119" xr:uid="{00000000-0004-0000-0000-00009E000000}"/>
    <hyperlink ref="S242" r:id="rId120" xr:uid="{00000000-0004-0000-0000-00009F000000}"/>
    <hyperlink ref="S243" r:id="rId121" xr:uid="{00000000-0004-0000-0000-0000A0000000}"/>
    <hyperlink ref="S244" r:id="rId122" xr:uid="{00000000-0004-0000-0000-0000A2000000}"/>
    <hyperlink ref="S245" r:id="rId123" xr:uid="{00000000-0004-0000-0000-0000A3000000}"/>
    <hyperlink ref="S246" r:id="rId124" xr:uid="{00000000-0004-0000-0000-0000A4000000}"/>
    <hyperlink ref="S247" r:id="rId125" xr:uid="{00000000-0004-0000-0000-0000A5000000}"/>
    <hyperlink ref="S248" r:id="rId126" xr:uid="{00000000-0004-0000-0000-0000A6000000}"/>
    <hyperlink ref="S249" r:id="rId127" xr:uid="{00000000-0004-0000-0000-0000A7000000}"/>
    <hyperlink ref="S256" r:id="rId128" xr:uid="{00000000-0004-0000-0000-0000A8000000}"/>
    <hyperlink ref="S257" r:id="rId129" xr:uid="{00000000-0004-0000-0000-0000A9000000}"/>
    <hyperlink ref="S263" r:id="rId130" xr:uid="{00000000-0004-0000-0000-0000AA000000}"/>
    <hyperlink ref="S264" r:id="rId131" xr:uid="{00000000-0004-0000-0000-0000AD000000}"/>
    <hyperlink ref="S265" r:id="rId132" xr:uid="{00000000-0004-0000-0000-0000B9000000}"/>
    <hyperlink ref="S266" r:id="rId133" xr:uid="{00000000-0004-0000-0000-0000BA000000}"/>
    <hyperlink ref="S267" r:id="rId134" xr:uid="{00000000-0004-0000-0000-0000CA000000}"/>
    <hyperlink ref="S269" r:id="rId135" xr:uid="{00000000-0004-0000-0000-0000CD000000}"/>
    <hyperlink ref="S270" r:id="rId136" xr:uid="{00000000-0004-0000-0000-0000CE000000}"/>
    <hyperlink ref="S271" r:id="rId137" xr:uid="{00000000-0004-0000-0000-0000CF000000}"/>
    <hyperlink ref="S272" r:id="rId138" xr:uid="{00000000-0004-0000-0000-0000E5000000}"/>
    <hyperlink ref="S274" r:id="rId139" xr:uid="{00000000-0004-0000-0000-0000F3000000}"/>
    <hyperlink ref="S275" r:id="rId140" xr:uid="{00000000-0004-0000-0000-0000F5000000}"/>
    <hyperlink ref="S276" r:id="rId141" xr:uid="{00000000-0004-0000-0000-0000F6000000}"/>
    <hyperlink ref="S277" r:id="rId142" xr:uid="{00000000-0004-0000-0000-0000F9000000}"/>
    <hyperlink ref="S278" r:id="rId143" xr:uid="{00000000-0004-0000-0000-0000FA000000}"/>
    <hyperlink ref="S279" r:id="rId144" xr:uid="{00000000-0004-0000-0000-0000FB000000}"/>
    <hyperlink ref="S280" r:id="rId145" xr:uid="{00000000-0004-0000-0000-0000FC000000}"/>
    <hyperlink ref="S281" r:id="rId146" xr:uid="{00000000-0004-0000-0000-0000FD000000}"/>
    <hyperlink ref="S282" r:id="rId147" xr:uid="{00000000-0004-0000-0000-0000FE000000}"/>
    <hyperlink ref="S283" r:id="rId148" xr:uid="{00000000-0004-0000-0000-0000FF000000}"/>
    <hyperlink ref="S295" r:id="rId149" xr:uid="{00000000-0004-0000-0000-000000010000}"/>
    <hyperlink ref="S296" r:id="rId150" xr:uid="{00000000-0004-0000-0000-000001010000}"/>
    <hyperlink ref="S297" r:id="rId151" xr:uid="{00000000-0004-0000-0000-000002010000}"/>
    <hyperlink ref="S298" r:id="rId152" xr:uid="{00000000-0004-0000-0000-000003010000}"/>
    <hyperlink ref="S299" r:id="rId153" xr:uid="{00000000-0004-0000-0000-000004010000}"/>
    <hyperlink ref="S300" r:id="rId154" xr:uid="{00000000-0004-0000-0000-000005010000}"/>
    <hyperlink ref="S301" r:id="rId155" xr:uid="{00000000-0004-0000-0000-000006010000}"/>
    <hyperlink ref="S302" r:id="rId156" xr:uid="{00000000-0004-0000-0000-000007010000}"/>
    <hyperlink ref="S303" r:id="rId157" xr:uid="{00000000-0004-0000-0000-000008010000}"/>
    <hyperlink ref="S304" r:id="rId158" xr:uid="{00000000-0004-0000-0000-000009010000}"/>
    <hyperlink ref="S307" r:id="rId159" xr:uid="{00000000-0004-0000-0000-00000A010000}"/>
    <hyperlink ref="S308" r:id="rId160" xr:uid="{00000000-0004-0000-0000-00000B010000}"/>
    <hyperlink ref="S309" r:id="rId161" xr:uid="{00000000-0004-0000-0000-00000C010000}"/>
    <hyperlink ref="S310" r:id="rId162" xr:uid="{00000000-0004-0000-0000-00000D010000}"/>
    <hyperlink ref="S311" r:id="rId163" xr:uid="{00000000-0004-0000-0000-00000E010000}"/>
    <hyperlink ref="S312" r:id="rId164" xr:uid="{00000000-0004-0000-0000-000010010000}"/>
    <hyperlink ref="S313" r:id="rId165" xr:uid="{00000000-0004-0000-0000-000014010000}"/>
    <hyperlink ref="S314" r:id="rId166" xr:uid="{00000000-0004-0000-0000-000016010000}"/>
    <hyperlink ref="S315" r:id="rId167" xr:uid="{00000000-0004-0000-0000-000017010000}"/>
    <hyperlink ref="S316" r:id="rId168" xr:uid="{00000000-0004-0000-0000-00001C010000}"/>
    <hyperlink ref="S317" r:id="rId169" xr:uid="{00000000-0004-0000-0000-00001D010000}"/>
    <hyperlink ref="S318" r:id="rId170" xr:uid="{00000000-0004-0000-0000-00001E010000}"/>
    <hyperlink ref="S319" r:id="rId171" xr:uid="{00000000-0004-0000-0000-00001F010000}"/>
    <hyperlink ref="S320" r:id="rId172" xr:uid="{00000000-0004-0000-0000-000020010000}"/>
    <hyperlink ref="S321" r:id="rId173" xr:uid="{00000000-0004-0000-0000-000021010000}"/>
    <hyperlink ref="S322" r:id="rId174" xr:uid="{00000000-0004-0000-0000-000022010000}"/>
    <hyperlink ref="S323" r:id="rId175" xr:uid="{00000000-0004-0000-0000-000023010000}"/>
    <hyperlink ref="S324" r:id="rId176" xr:uid="{00000000-0004-0000-0000-000024010000}"/>
    <hyperlink ref="S332" r:id="rId177" xr:uid="{00000000-0004-0000-0000-000025010000}"/>
    <hyperlink ref="S334" r:id="rId178" xr:uid="{00000000-0004-0000-0000-000026010000}"/>
    <hyperlink ref="S337" r:id="rId179" xr:uid="{00000000-0004-0000-0000-000027010000}"/>
    <hyperlink ref="S338" r:id="rId180" xr:uid="{00000000-0004-0000-0000-000028010000}"/>
    <hyperlink ref="S340" r:id="rId181" xr:uid="{00000000-0004-0000-0000-000029010000}"/>
    <hyperlink ref="S341" r:id="rId182" xr:uid="{00000000-0004-0000-0000-00002A010000}"/>
    <hyperlink ref="S354" r:id="rId183" xr:uid="{00000000-0004-0000-0000-00002B010000}"/>
    <hyperlink ref="S355" r:id="rId184" xr:uid="{00000000-0004-0000-0000-00002C010000}"/>
    <hyperlink ref="S356" r:id="rId185" xr:uid="{00000000-0004-0000-0000-00002D010000}"/>
    <hyperlink ref="S357" r:id="rId186" xr:uid="{00000000-0004-0000-0000-00002E010000}"/>
    <hyperlink ref="S358" r:id="rId187" xr:uid="{00000000-0004-0000-0000-00002F010000}"/>
    <hyperlink ref="S359" r:id="rId188" xr:uid="{00000000-0004-0000-0000-000030010000}"/>
    <hyperlink ref="S374" r:id="rId189" xr:uid="{00000000-0004-0000-0000-000047010000}"/>
    <hyperlink ref="S375" r:id="rId190" xr:uid="{00000000-0004-0000-0000-00005C010000}"/>
    <hyperlink ref="S376" r:id="rId191" xr:uid="{00000000-0004-0000-0000-000067010000}"/>
    <hyperlink ref="S377" r:id="rId192" xr:uid="{00000000-0004-0000-0000-000068010000}"/>
    <hyperlink ref="S378" r:id="rId193" xr:uid="{00000000-0004-0000-0000-000069010000}"/>
    <hyperlink ref="S380" r:id="rId194" xr:uid="{00000000-0004-0000-0000-000085010000}"/>
    <hyperlink ref="S381" r:id="rId195" xr:uid="{00000000-0004-0000-0000-000086010000}"/>
    <hyperlink ref="S382" r:id="rId196" xr:uid="{00000000-0004-0000-0000-000087010000}"/>
    <hyperlink ref="S383" r:id="rId197" xr:uid="{00000000-0004-0000-0000-000088010000}"/>
    <hyperlink ref="S384" r:id="rId198" xr:uid="{00000000-0004-0000-0000-000089010000}"/>
    <hyperlink ref="S385" r:id="rId199" xr:uid="{00000000-0004-0000-0000-00008A010000}"/>
    <hyperlink ref="S386" r:id="rId200" xr:uid="{00000000-0004-0000-0000-00008B010000}"/>
    <hyperlink ref="S387" r:id="rId201" xr:uid="{00000000-0004-0000-0000-00008C010000}"/>
    <hyperlink ref="S388" r:id="rId202" xr:uid="{00000000-0004-0000-0000-00008D010000}"/>
    <hyperlink ref="S389" r:id="rId203" xr:uid="{00000000-0004-0000-0000-00008E010000}"/>
    <hyperlink ref="S390" r:id="rId204" xr:uid="{00000000-0004-0000-0000-00008F010000}"/>
    <hyperlink ref="S391" r:id="rId205" xr:uid="{00000000-0004-0000-0000-000090010000}"/>
    <hyperlink ref="S392" r:id="rId206" xr:uid="{00000000-0004-0000-0000-000091010000}"/>
    <hyperlink ref="S407" r:id="rId207" xr:uid="{00000000-0004-0000-0000-000093010000}"/>
    <hyperlink ref="S408" r:id="rId208" xr:uid="{00000000-0004-0000-0000-000094010000}"/>
    <hyperlink ref="S409" r:id="rId209" xr:uid="{00000000-0004-0000-0000-000095010000}"/>
    <hyperlink ref="S410" r:id="rId210" xr:uid="{00000000-0004-0000-0000-000096010000}"/>
    <hyperlink ref="S411" r:id="rId211" xr:uid="{00000000-0004-0000-0000-000097010000}"/>
    <hyperlink ref="S412" r:id="rId212" xr:uid="{00000000-0004-0000-0000-000098010000}"/>
    <hyperlink ref="S413" r:id="rId213" xr:uid="{00000000-0004-0000-0000-000099010000}"/>
    <hyperlink ref="S436" r:id="rId214" xr:uid="{00000000-0004-0000-0000-00009A010000}"/>
    <hyperlink ref="S443" r:id="rId215" xr:uid="{00000000-0004-0000-0000-00009B010000}"/>
    <hyperlink ref="S448" r:id="rId216" xr:uid="{00000000-0004-0000-0000-00009C010000}"/>
    <hyperlink ref="S449" r:id="rId217" xr:uid="{00000000-0004-0000-0000-00009D010000}"/>
    <hyperlink ref="S450" r:id="rId218" xr:uid="{00000000-0004-0000-0000-00009E010000}"/>
    <hyperlink ref="S454" r:id="rId219" xr:uid="{00000000-0004-0000-0000-00009F010000}"/>
    <hyperlink ref="S455" r:id="rId220" xr:uid="{00000000-0004-0000-0000-0000A0010000}"/>
    <hyperlink ref="S465" r:id="rId221" xr:uid="{00000000-0004-0000-0000-0000A1010000}"/>
    <hyperlink ref="S466" r:id="rId222" xr:uid="{00000000-0004-0000-0000-0000A2010000}"/>
    <hyperlink ref="S467" r:id="rId223" xr:uid="{00000000-0004-0000-0000-0000A3010000}"/>
    <hyperlink ref="S468" r:id="rId224" xr:uid="{00000000-0004-0000-0000-0000A4010000}"/>
    <hyperlink ref="S469" r:id="rId225" xr:uid="{00000000-0004-0000-0000-0000A5010000}"/>
    <hyperlink ref="S470" r:id="rId226" xr:uid="{00000000-0004-0000-0000-0000A6010000}"/>
    <hyperlink ref="S471" r:id="rId227" xr:uid="{00000000-0004-0000-0000-0000A7010000}"/>
    <hyperlink ref="S472" r:id="rId228" xr:uid="{00000000-0004-0000-0000-0000A8010000}"/>
    <hyperlink ref="S473" r:id="rId229" xr:uid="{00000000-0004-0000-0000-0000A9010000}"/>
    <hyperlink ref="S475" r:id="rId230" xr:uid="{00000000-0004-0000-0000-0000AA010000}"/>
    <hyperlink ref="S476" r:id="rId231" xr:uid="{00000000-0004-0000-0000-0000AB010000}"/>
    <hyperlink ref="S477" r:id="rId232" xr:uid="{00000000-0004-0000-0000-0000AE010000}"/>
    <hyperlink ref="S478" r:id="rId233" xr:uid="{00000000-0004-0000-0000-0000B1010000}"/>
    <hyperlink ref="S479" r:id="rId234" xr:uid="{00000000-0004-0000-0000-0000B7010000}"/>
    <hyperlink ref="S480" r:id="rId235" xr:uid="{00000000-0004-0000-0000-0000B8010000}"/>
    <hyperlink ref="S481" r:id="rId236" xr:uid="{00000000-0004-0000-0000-0000B9010000}"/>
    <hyperlink ref="S482" r:id="rId237" xr:uid="{00000000-0004-0000-0000-0000BA010000}"/>
    <hyperlink ref="S483" r:id="rId238" xr:uid="{00000000-0004-0000-0000-0000BB010000}"/>
    <hyperlink ref="S484" r:id="rId239" xr:uid="{00000000-0004-0000-0000-0000BC010000}"/>
    <hyperlink ref="S485" r:id="rId240" xr:uid="{00000000-0004-0000-0000-0000BD010000}"/>
    <hyperlink ref="S486" r:id="rId241" xr:uid="{00000000-0004-0000-0000-0000BE010000}"/>
    <hyperlink ref="S488" r:id="rId242" xr:uid="{00000000-0004-0000-0000-0000BF010000}"/>
    <hyperlink ref="S489" r:id="rId243" xr:uid="{00000000-0004-0000-0000-0000C0010000}"/>
    <hyperlink ref="S493" r:id="rId244" xr:uid="{00000000-0004-0000-0000-0000C1010000}"/>
    <hyperlink ref="S517" r:id="rId245" xr:uid="{00000000-0004-0000-0000-0000C2010000}"/>
    <hyperlink ref="S518" r:id="rId246" xr:uid="{00000000-0004-0000-0000-0000C3010000}"/>
    <hyperlink ref="S519" r:id="rId247" xr:uid="{00000000-0004-0000-0000-0000C4010000}"/>
    <hyperlink ref="S520" r:id="rId248" xr:uid="{00000000-0004-0000-0000-0000C5010000}"/>
    <hyperlink ref="S521" r:id="rId249" xr:uid="{00000000-0004-0000-0000-0000C6010000}"/>
    <hyperlink ref="S522" r:id="rId250" xr:uid="{00000000-0004-0000-0000-0000C7010000}"/>
    <hyperlink ref="S523" r:id="rId251" xr:uid="{00000000-0004-0000-0000-0000C8010000}"/>
    <hyperlink ref="S524" r:id="rId252" xr:uid="{00000000-0004-0000-0000-0000C9010000}"/>
    <hyperlink ref="S525" r:id="rId253" xr:uid="{00000000-0004-0000-0000-0000CA010000}"/>
    <hyperlink ref="S526" r:id="rId254" xr:uid="{00000000-0004-0000-0000-0000CB010000}"/>
    <hyperlink ref="S527" r:id="rId255" xr:uid="{00000000-0004-0000-0000-0000CC010000}"/>
    <hyperlink ref="S529" r:id="rId256" xr:uid="{00000000-0004-0000-0000-0000CD010000}"/>
    <hyperlink ref="S531" r:id="rId257" xr:uid="{00000000-0004-0000-0000-0000CE010000}"/>
    <hyperlink ref="S532" r:id="rId258" xr:uid="{00000000-0004-0000-0000-0000CF010000}"/>
    <hyperlink ref="S533" r:id="rId259" xr:uid="{00000000-0004-0000-0000-0000D0010000}"/>
    <hyperlink ref="S534" r:id="rId260" xr:uid="{00000000-0004-0000-0000-0000D1010000}"/>
    <hyperlink ref="S536" r:id="rId261" xr:uid="{00000000-0004-0000-0000-0000D2010000}"/>
    <hyperlink ref="S537" r:id="rId262" xr:uid="{00000000-0004-0000-0000-0000D3010000}"/>
    <hyperlink ref="S538" r:id="rId263" xr:uid="{00000000-0004-0000-0000-0000D4010000}"/>
    <hyperlink ref="S539" r:id="rId264" xr:uid="{00000000-0004-0000-0000-0000D5010000}"/>
    <hyperlink ref="S540" r:id="rId265" xr:uid="{00000000-0004-0000-0000-0000D6010000}"/>
    <hyperlink ref="S541" r:id="rId266" xr:uid="{00000000-0004-0000-0000-0000D7010000}"/>
    <hyperlink ref="S542" r:id="rId267" xr:uid="{00000000-0004-0000-0000-0000D8010000}"/>
    <hyperlink ref="S543" r:id="rId268" xr:uid="{00000000-0004-0000-0000-0000D9010000}"/>
    <hyperlink ref="S544" r:id="rId269" xr:uid="{00000000-0004-0000-0000-0000DA010000}"/>
    <hyperlink ref="S554" r:id="rId270" xr:uid="{00000000-0004-0000-0000-0000DB010000}"/>
    <hyperlink ref="S555" r:id="rId271" xr:uid="{00000000-0004-0000-0000-0000DD010000}"/>
    <hyperlink ref="S556" r:id="rId272" xr:uid="{00000000-0004-0000-0000-0000E3010000}"/>
    <hyperlink ref="S557" r:id="rId273" xr:uid="{00000000-0004-0000-0000-0000E7010000}"/>
    <hyperlink ref="S558" r:id="rId274" xr:uid="{00000000-0004-0000-0000-0000E8010000}"/>
    <hyperlink ref="S559" r:id="rId275" xr:uid="{00000000-0004-0000-0000-0000E9010000}"/>
    <hyperlink ref="S560" r:id="rId276" xr:uid="{00000000-0004-0000-0000-0000EA010000}"/>
    <hyperlink ref="S561" r:id="rId277" xr:uid="{00000000-0004-0000-0000-0000EB010000}"/>
    <hyperlink ref="S562" r:id="rId278" xr:uid="{00000000-0004-0000-0000-0000EC010000}"/>
    <hyperlink ref="S563" r:id="rId279" xr:uid="{00000000-0004-0000-0000-0000ED010000}"/>
    <hyperlink ref="S564" r:id="rId280" xr:uid="{00000000-0004-0000-0000-0000EE010000}"/>
    <hyperlink ref="S565" r:id="rId281" xr:uid="{00000000-0004-0000-0000-0000EF010000}"/>
    <hyperlink ref="S566" r:id="rId282" xr:uid="{00000000-0004-0000-0000-0000F0010000}"/>
    <hyperlink ref="S567" r:id="rId283" xr:uid="{00000000-0004-0000-0000-0000F1010000}"/>
    <hyperlink ref="S568" r:id="rId284" xr:uid="{00000000-0004-0000-0000-0000F2010000}"/>
    <hyperlink ref="S573" r:id="rId285" xr:uid="{00000000-0004-0000-0000-0000F3010000}"/>
    <hyperlink ref="S574" r:id="rId286" xr:uid="{00000000-0004-0000-0000-0000F4010000}"/>
    <hyperlink ref="S575" r:id="rId287" xr:uid="{00000000-0004-0000-0000-0000F5010000}"/>
    <hyperlink ref="S576" r:id="rId288" xr:uid="{00000000-0004-0000-0000-0000F6010000}"/>
    <hyperlink ref="S577" r:id="rId289" xr:uid="{00000000-0004-0000-0000-0000F7010000}"/>
    <hyperlink ref="S580" r:id="rId290" xr:uid="{00000000-0004-0000-0000-0000F8010000}"/>
    <hyperlink ref="S581" r:id="rId291" xr:uid="{00000000-0004-0000-0000-0000F9010000}"/>
    <hyperlink ref="S582" r:id="rId292" xr:uid="{00000000-0004-0000-0000-0000FA010000}"/>
    <hyperlink ref="S583" r:id="rId293" xr:uid="{00000000-0004-0000-0000-0000FB010000}"/>
    <hyperlink ref="S584" r:id="rId294" xr:uid="{00000000-0004-0000-0000-0000FC010000}"/>
    <hyperlink ref="S585" r:id="rId295" xr:uid="{00000000-0004-0000-0000-0000FD010000}"/>
    <hyperlink ref="S586" r:id="rId296" xr:uid="{00000000-0004-0000-0000-0000FE010000}"/>
    <hyperlink ref="S587" r:id="rId297" xr:uid="{00000000-0004-0000-0000-0000FF010000}"/>
    <hyperlink ref="S588" r:id="rId298" xr:uid="{00000000-0004-0000-0000-000000020000}"/>
    <hyperlink ref="S589" r:id="rId299" xr:uid="{00000000-0004-0000-0000-000001020000}"/>
    <hyperlink ref="S599" r:id="rId300" xr:uid="{00000000-0004-0000-0000-000002020000}"/>
    <hyperlink ref="S601" r:id="rId301" xr:uid="{00000000-0004-0000-0000-000003020000}"/>
    <hyperlink ref="S602" r:id="rId302" xr:uid="{00000000-0004-0000-0000-000004020000}"/>
    <hyperlink ref="S603" r:id="rId303" xr:uid="{00000000-0004-0000-0000-000005020000}"/>
    <hyperlink ref="S604" r:id="rId304" xr:uid="{00000000-0004-0000-0000-000006020000}"/>
    <hyperlink ref="S605" r:id="rId305" xr:uid="{00000000-0004-0000-0000-000007020000}"/>
    <hyperlink ref="S606" r:id="rId306" xr:uid="{00000000-0004-0000-0000-000008020000}"/>
    <hyperlink ref="S607" r:id="rId307" xr:uid="{00000000-0004-0000-0000-000009020000}"/>
    <hyperlink ref="S608" r:id="rId308" xr:uid="{00000000-0004-0000-0000-00000A020000}"/>
    <hyperlink ref="S609" r:id="rId309" xr:uid="{00000000-0004-0000-0000-00000B020000}"/>
    <hyperlink ref="S622" r:id="rId310" xr:uid="{00000000-0004-0000-0000-00000C020000}"/>
    <hyperlink ref="S623" r:id="rId311" xr:uid="{00000000-0004-0000-0000-00000D020000}"/>
    <hyperlink ref="S624" r:id="rId312" xr:uid="{00000000-0004-0000-0000-00000E020000}"/>
    <hyperlink ref="S627" r:id="rId313" xr:uid="{00000000-0004-0000-0000-00000F020000}"/>
    <hyperlink ref="S628" r:id="rId314" xr:uid="{00000000-0004-0000-0000-000010020000}"/>
    <hyperlink ref="S632" r:id="rId315" xr:uid="{00000000-0004-0000-0000-000011020000}"/>
    <hyperlink ref="S633" r:id="rId316" xr:uid="{00000000-0004-0000-0000-000012020000}"/>
    <hyperlink ref="S634" r:id="rId317" xr:uid="{00000000-0004-0000-0000-000013020000}"/>
    <hyperlink ref="S635" r:id="rId318" xr:uid="{00000000-0004-0000-0000-000014020000}"/>
    <hyperlink ref="S636" r:id="rId319" xr:uid="{00000000-0004-0000-0000-000015020000}"/>
    <hyperlink ref="S637" r:id="rId320" xr:uid="{00000000-0004-0000-0000-000016020000}"/>
    <hyperlink ref="S638" r:id="rId321" xr:uid="{00000000-0004-0000-0000-000017020000}"/>
    <hyperlink ref="S639" r:id="rId322" xr:uid="{00000000-0004-0000-0000-000018020000}"/>
    <hyperlink ref="S640" r:id="rId323" xr:uid="{00000000-0004-0000-0000-000019020000}"/>
    <hyperlink ref="S641" r:id="rId324" xr:uid="{00000000-0004-0000-0000-00001A020000}"/>
    <hyperlink ref="S642" r:id="rId325" xr:uid="{00000000-0004-0000-0000-00001B020000}"/>
    <hyperlink ref="S643" r:id="rId326" xr:uid="{00000000-0004-0000-0000-00001C020000}"/>
    <hyperlink ref="S644" r:id="rId327" xr:uid="{00000000-0004-0000-0000-00001D020000}"/>
    <hyperlink ref="S645" r:id="rId328" xr:uid="{00000000-0004-0000-0000-00001E020000}"/>
    <hyperlink ref="S646" r:id="rId329" xr:uid="{00000000-0004-0000-0000-00001F020000}"/>
    <hyperlink ref="S647" r:id="rId330" xr:uid="{00000000-0004-0000-0000-000020020000}"/>
    <hyperlink ref="S648" r:id="rId331" xr:uid="{00000000-0004-0000-0000-000021020000}"/>
    <hyperlink ref="S649" r:id="rId332" xr:uid="{00000000-0004-0000-0000-000022020000}"/>
    <hyperlink ref="S670" r:id="rId333" xr:uid="{00000000-0004-0000-0000-000023020000}"/>
    <hyperlink ref="S671" r:id="rId334" xr:uid="{00000000-0004-0000-0000-000024020000}"/>
    <hyperlink ref="S677" r:id="rId335" xr:uid="{00000000-0004-0000-0000-000025020000}"/>
    <hyperlink ref="S678" r:id="rId336" xr:uid="{00000000-0004-0000-0000-000026020000}"/>
    <hyperlink ref="S679" r:id="rId337" xr:uid="{00000000-0004-0000-0000-000027020000}"/>
    <hyperlink ref="S680" r:id="rId338" xr:uid="{00000000-0004-0000-0000-000028020000}"/>
    <hyperlink ref="S681" r:id="rId339" xr:uid="{00000000-0004-0000-0000-000029020000}"/>
    <hyperlink ref="S682" r:id="rId340" xr:uid="{00000000-0004-0000-0000-00002A020000}"/>
    <hyperlink ref="S683" r:id="rId341" xr:uid="{00000000-0004-0000-0000-00002B020000}"/>
    <hyperlink ref="S684" r:id="rId342" xr:uid="{00000000-0004-0000-0000-00002C020000}"/>
    <hyperlink ref="S685" r:id="rId343" xr:uid="{00000000-0004-0000-0000-00002D020000}"/>
    <hyperlink ref="S686" r:id="rId344" xr:uid="{00000000-0004-0000-0000-00002E020000}"/>
    <hyperlink ref="S689" r:id="rId345" xr:uid="{00000000-0004-0000-0000-00002F020000}"/>
    <hyperlink ref="S690" r:id="rId346" xr:uid="{00000000-0004-0000-0000-000030020000}"/>
    <hyperlink ref="S691" r:id="rId347" xr:uid="{00000000-0004-0000-0000-000031020000}"/>
    <hyperlink ref="S692" r:id="rId348" xr:uid="{00000000-0004-0000-0000-000032020000}"/>
    <hyperlink ref="S693" r:id="rId349" xr:uid="{00000000-0004-0000-0000-000033020000}"/>
    <hyperlink ref="S694" r:id="rId350" xr:uid="{00000000-0004-0000-0000-000034020000}"/>
    <hyperlink ref="S695" r:id="rId351" xr:uid="{00000000-0004-0000-0000-000035020000}"/>
    <hyperlink ref="S696" r:id="rId352" xr:uid="{00000000-0004-0000-0000-000036020000}"/>
    <hyperlink ref="S701" r:id="rId353" xr:uid="{00000000-0004-0000-0000-000037020000}"/>
    <hyperlink ref="S702" r:id="rId354" xr:uid="{00000000-0004-0000-0000-000038020000}"/>
    <hyperlink ref="S706" r:id="rId355" xr:uid="{00000000-0004-0000-0000-000039020000}"/>
    <hyperlink ref="S707" r:id="rId356" xr:uid="{00000000-0004-0000-0000-00003A020000}"/>
    <hyperlink ref="S708" r:id="rId357" xr:uid="{00000000-0004-0000-0000-00003B020000}"/>
    <hyperlink ref="S709" r:id="rId358" xr:uid="{00000000-0004-0000-0000-00003C020000}"/>
    <hyperlink ref="S710" r:id="rId359" xr:uid="{00000000-0004-0000-0000-00003D020000}"/>
    <hyperlink ref="S711" r:id="rId360" xr:uid="{00000000-0004-0000-0000-00003E020000}"/>
    <hyperlink ref="S712" r:id="rId361" xr:uid="{00000000-0004-0000-0000-00003F020000}"/>
    <hyperlink ref="S713" r:id="rId362" xr:uid="{00000000-0004-0000-0000-000040020000}"/>
    <hyperlink ref="S714" r:id="rId363" xr:uid="{00000000-0004-0000-0000-000041020000}"/>
    <hyperlink ref="S715" r:id="rId364" xr:uid="{00000000-0004-0000-0000-000042020000}"/>
    <hyperlink ref="S716" r:id="rId365" xr:uid="{00000000-0004-0000-0000-000043020000}"/>
    <hyperlink ref="S717" r:id="rId366" xr:uid="{00000000-0004-0000-0000-000044020000}"/>
    <hyperlink ref="S742" r:id="rId367" xr:uid="{00000000-0004-0000-0000-000045020000}"/>
    <hyperlink ref="S745" r:id="rId368" xr:uid="{00000000-0004-0000-0000-000046020000}"/>
    <hyperlink ref="S746" r:id="rId369" xr:uid="{00000000-0004-0000-0000-000047020000}"/>
    <hyperlink ref="S747" r:id="rId370" xr:uid="{00000000-0004-0000-0000-000048020000}"/>
    <hyperlink ref="S748" r:id="rId371" xr:uid="{00000000-0004-0000-0000-000049020000}"/>
    <hyperlink ref="S749" r:id="rId372" xr:uid="{00000000-0004-0000-0000-00004A020000}"/>
    <hyperlink ref="S750" r:id="rId373" xr:uid="{00000000-0004-0000-0000-00004B020000}"/>
    <hyperlink ref="S751" r:id="rId374" xr:uid="{00000000-0004-0000-0000-00004C020000}"/>
    <hyperlink ref="S752" r:id="rId375" xr:uid="{00000000-0004-0000-0000-00004D020000}"/>
    <hyperlink ref="S753" r:id="rId376" xr:uid="{00000000-0004-0000-0000-00004E020000}"/>
    <hyperlink ref="S754" r:id="rId377" xr:uid="{00000000-0004-0000-0000-00004F020000}"/>
    <hyperlink ref="S755" r:id="rId378" xr:uid="{00000000-0004-0000-0000-000050020000}"/>
    <hyperlink ref="S756" r:id="rId379" xr:uid="{00000000-0004-0000-0000-000051020000}"/>
    <hyperlink ref="S757" r:id="rId380" xr:uid="{00000000-0004-0000-0000-000052020000}"/>
    <hyperlink ref="S758" r:id="rId381" xr:uid="{00000000-0004-0000-0000-000053020000}"/>
    <hyperlink ref="S759" r:id="rId382" xr:uid="{00000000-0004-0000-0000-000054020000}"/>
    <hyperlink ref="S760" r:id="rId383" xr:uid="{00000000-0004-0000-0000-000055020000}"/>
    <hyperlink ref="S761" r:id="rId384" xr:uid="{00000000-0004-0000-0000-000056020000}"/>
    <hyperlink ref="S762" r:id="rId385" xr:uid="{00000000-0004-0000-0000-000057020000}"/>
    <hyperlink ref="S763" r:id="rId386" xr:uid="{00000000-0004-0000-0000-000058020000}"/>
    <hyperlink ref="S765" r:id="rId387" xr:uid="{00000000-0004-0000-0000-000059020000}"/>
    <hyperlink ref="S766" r:id="rId388" xr:uid="{00000000-0004-0000-0000-00005A020000}"/>
    <hyperlink ref="S767" r:id="rId389" xr:uid="{00000000-0004-0000-0000-00005B020000}"/>
    <hyperlink ref="S768" r:id="rId390" xr:uid="{00000000-0004-0000-0000-00005C020000}"/>
    <hyperlink ref="S769" r:id="rId391" xr:uid="{00000000-0004-0000-0000-00005D020000}"/>
    <hyperlink ref="S775" r:id="rId392" xr:uid="{00000000-0004-0000-0000-00005E020000}"/>
    <hyperlink ref="S776" r:id="rId393" xr:uid="{00000000-0004-0000-0000-00005F020000}"/>
    <hyperlink ref="S777" r:id="rId394" xr:uid="{00000000-0004-0000-0000-000060020000}"/>
    <hyperlink ref="S778" r:id="rId395" xr:uid="{00000000-0004-0000-0000-000061020000}"/>
    <hyperlink ref="S792" r:id="rId396" xr:uid="{00000000-0004-0000-0000-000062020000}"/>
    <hyperlink ref="S793" r:id="rId397" xr:uid="{00000000-0004-0000-0000-000063020000}"/>
    <hyperlink ref="S794" r:id="rId398" xr:uid="{00000000-0004-0000-0000-000064020000}"/>
    <hyperlink ref="S795" r:id="rId399" xr:uid="{00000000-0004-0000-0000-000065020000}"/>
    <hyperlink ref="S796" r:id="rId400" xr:uid="{00000000-0004-0000-0000-000066020000}"/>
    <hyperlink ref="S797" r:id="rId401" xr:uid="{00000000-0004-0000-0000-000067020000}"/>
    <hyperlink ref="S798" r:id="rId402" xr:uid="{00000000-0004-0000-0000-000068020000}"/>
    <hyperlink ref="S799" r:id="rId403" xr:uid="{00000000-0004-0000-0000-000069020000}"/>
    <hyperlink ref="S800" r:id="rId404" xr:uid="{00000000-0004-0000-0000-00006A020000}"/>
    <hyperlink ref="S801" r:id="rId405" xr:uid="{00000000-0004-0000-0000-00006B020000}"/>
    <hyperlink ref="S802" r:id="rId406" xr:uid="{00000000-0004-0000-0000-00006C020000}"/>
    <hyperlink ref="S803" r:id="rId407" xr:uid="{00000000-0004-0000-0000-00006D020000}"/>
    <hyperlink ref="S804" r:id="rId408" xr:uid="{00000000-0004-0000-0000-00006E020000}"/>
    <hyperlink ref="S805" r:id="rId409" xr:uid="{00000000-0004-0000-0000-00006F020000}"/>
    <hyperlink ref="S806" r:id="rId410" xr:uid="{00000000-0004-0000-0000-000070020000}"/>
    <hyperlink ref="S817" r:id="rId411" xr:uid="{00000000-0004-0000-0000-000073020000}"/>
    <hyperlink ref="S818" r:id="rId412" xr:uid="{00000000-0004-0000-0000-000074020000}"/>
    <hyperlink ref="S819" r:id="rId413" xr:uid="{00000000-0004-0000-0000-000075020000}"/>
    <hyperlink ref="S820" r:id="rId414" xr:uid="{00000000-0004-0000-0000-000076020000}"/>
    <hyperlink ref="S821" r:id="rId415" xr:uid="{00000000-0004-0000-0000-000077020000}"/>
    <hyperlink ref="S826" r:id="rId416" xr:uid="{00000000-0004-0000-0000-000078020000}"/>
    <hyperlink ref="S827" r:id="rId417" xr:uid="{00000000-0004-0000-0000-000079020000}"/>
    <hyperlink ref="S828" r:id="rId418" xr:uid="{00000000-0004-0000-0000-00007A020000}"/>
    <hyperlink ref="S829" r:id="rId419" xr:uid="{00000000-0004-0000-0000-00007B020000}"/>
    <hyperlink ref="S830" r:id="rId420" xr:uid="{00000000-0004-0000-0000-00007C020000}"/>
    <hyperlink ref="S831" r:id="rId421" xr:uid="{00000000-0004-0000-0000-00007D020000}"/>
    <hyperlink ref="S832" r:id="rId422" xr:uid="{00000000-0004-0000-0000-00007E020000}"/>
    <hyperlink ref="S833" r:id="rId423" xr:uid="{00000000-0004-0000-0000-00007F020000}"/>
    <hyperlink ref="S834" r:id="rId424" xr:uid="{00000000-0004-0000-0000-000080020000}"/>
    <hyperlink ref="S836" r:id="rId425" xr:uid="{00000000-0004-0000-0000-000081020000}"/>
    <hyperlink ref="S837" r:id="rId426" xr:uid="{00000000-0004-0000-0000-000082020000}"/>
    <hyperlink ref="S840" r:id="rId427" xr:uid="{00000000-0004-0000-0000-000083020000}"/>
    <hyperlink ref="S841" r:id="rId428" xr:uid="{00000000-0004-0000-0000-000084020000}"/>
    <hyperlink ref="S842" r:id="rId429" xr:uid="{00000000-0004-0000-0000-000085020000}"/>
    <hyperlink ref="S843" r:id="rId430" xr:uid="{00000000-0004-0000-0000-000086020000}"/>
    <hyperlink ref="S844" r:id="rId431" xr:uid="{00000000-0004-0000-0000-000087020000}"/>
    <hyperlink ref="S847" r:id="rId432" xr:uid="{00000000-0004-0000-0000-000088020000}"/>
    <hyperlink ref="S851" r:id="rId433" xr:uid="{00000000-0004-0000-0000-000089020000}"/>
    <hyperlink ref="S852" r:id="rId434" xr:uid="{00000000-0004-0000-0000-00008A020000}"/>
    <hyperlink ref="S853" r:id="rId435" xr:uid="{00000000-0004-0000-0000-00008B020000}"/>
    <hyperlink ref="S854" r:id="rId436" xr:uid="{00000000-0004-0000-0000-00008C020000}"/>
    <hyperlink ref="S894" r:id="rId437" xr:uid="{00000000-0004-0000-0000-00008E020000}"/>
    <hyperlink ref="S895" r:id="rId438" xr:uid="{00000000-0004-0000-0000-00008F020000}"/>
    <hyperlink ref="S896" r:id="rId439" xr:uid="{00000000-0004-0000-0000-000090020000}"/>
    <hyperlink ref="S897" r:id="rId440" xr:uid="{00000000-0004-0000-0000-000091020000}"/>
    <hyperlink ref="S898" r:id="rId441" xr:uid="{00000000-0004-0000-0000-000092020000}"/>
    <hyperlink ref="S899" r:id="rId442" xr:uid="{00000000-0004-0000-0000-000093020000}"/>
    <hyperlink ref="S900" r:id="rId443" xr:uid="{00000000-0004-0000-0000-000094020000}"/>
    <hyperlink ref="S917" r:id="rId444" xr:uid="{00000000-0004-0000-0000-000095020000}"/>
    <hyperlink ref="S918" r:id="rId445" xr:uid="{00000000-0004-0000-0000-000096020000}"/>
    <hyperlink ref="S919" r:id="rId446" xr:uid="{00000000-0004-0000-0000-000097020000}"/>
    <hyperlink ref="S920" r:id="rId447" xr:uid="{00000000-0004-0000-0000-000098020000}"/>
    <hyperlink ref="S921" r:id="rId448" xr:uid="{00000000-0004-0000-0000-000099020000}"/>
    <hyperlink ref="S922" r:id="rId449" xr:uid="{00000000-0004-0000-0000-00009A020000}"/>
    <hyperlink ref="S923" r:id="rId450" xr:uid="{00000000-0004-0000-0000-00009B020000}"/>
    <hyperlink ref="S924" r:id="rId451" xr:uid="{00000000-0004-0000-0000-00009C020000}"/>
    <hyperlink ref="S934" r:id="rId452" xr:uid="{00000000-0004-0000-0000-00009D020000}"/>
    <hyperlink ref="S935" r:id="rId453" xr:uid="{00000000-0004-0000-0000-00009E020000}"/>
    <hyperlink ref="S936" r:id="rId454" xr:uid="{00000000-0004-0000-0000-00009F020000}"/>
    <hyperlink ref="S937" r:id="rId455" xr:uid="{00000000-0004-0000-0000-0000A0020000}"/>
    <hyperlink ref="S938" r:id="rId456" xr:uid="{00000000-0004-0000-0000-0000A1020000}"/>
    <hyperlink ref="S939" r:id="rId457" xr:uid="{00000000-0004-0000-0000-0000A2020000}"/>
    <hyperlink ref="S940" r:id="rId458" xr:uid="{00000000-0004-0000-0000-0000A3020000}"/>
    <hyperlink ref="S941" r:id="rId459" xr:uid="{00000000-0004-0000-0000-0000A4020000}"/>
    <hyperlink ref="S942" r:id="rId460" xr:uid="{00000000-0004-0000-0000-0000A5020000}"/>
    <hyperlink ref="S943" r:id="rId461" xr:uid="{00000000-0004-0000-0000-0000A6020000}"/>
    <hyperlink ref="S944" r:id="rId462" xr:uid="{00000000-0004-0000-0000-0000A7020000}"/>
    <hyperlink ref="S952" r:id="rId463" xr:uid="{00000000-0004-0000-0000-0000A8020000}"/>
    <hyperlink ref="S953" r:id="rId464" xr:uid="{00000000-0004-0000-0000-0000A9020000}"/>
    <hyperlink ref="S954" r:id="rId465" xr:uid="{00000000-0004-0000-0000-0000AA020000}"/>
    <hyperlink ref="S955" r:id="rId466" xr:uid="{00000000-0004-0000-0000-0000AB020000}"/>
    <hyperlink ref="S956" r:id="rId467" xr:uid="{00000000-0004-0000-0000-0000AC020000}"/>
    <hyperlink ref="S957" r:id="rId468" xr:uid="{00000000-0004-0000-0000-0000AD020000}"/>
    <hyperlink ref="S958" r:id="rId469" xr:uid="{00000000-0004-0000-0000-0000AE020000}"/>
    <hyperlink ref="S959" r:id="rId470" xr:uid="{00000000-0004-0000-0000-0000AF020000}"/>
    <hyperlink ref="S964" r:id="rId471" xr:uid="{00000000-0004-0000-0000-0000B0020000}"/>
    <hyperlink ref="S965" r:id="rId472" xr:uid="{00000000-0004-0000-0000-0000B1020000}"/>
    <hyperlink ref="S966" r:id="rId473" xr:uid="{00000000-0004-0000-0000-0000B2020000}"/>
    <hyperlink ref="S967" r:id="rId474" xr:uid="{00000000-0004-0000-0000-0000B3020000}"/>
    <hyperlink ref="S968" r:id="rId475" xr:uid="{00000000-0004-0000-0000-0000B4020000}"/>
    <hyperlink ref="S969" r:id="rId476" xr:uid="{00000000-0004-0000-0000-0000B5020000}"/>
    <hyperlink ref="S979" r:id="rId477" xr:uid="{00000000-0004-0000-0000-0000B6020000}"/>
    <hyperlink ref="S980" r:id="rId478" xr:uid="{00000000-0004-0000-0000-0000B7020000}"/>
    <hyperlink ref="S981" r:id="rId479" xr:uid="{00000000-0004-0000-0000-0000B8020000}"/>
    <hyperlink ref="S982" r:id="rId480" xr:uid="{00000000-0004-0000-0000-0000B9020000}"/>
    <hyperlink ref="S983" r:id="rId481" xr:uid="{00000000-0004-0000-0000-0000BA020000}"/>
    <hyperlink ref="S989" r:id="rId482" xr:uid="{00000000-0004-0000-0000-0000BB020000}"/>
    <hyperlink ref="S990" r:id="rId483" xr:uid="{00000000-0004-0000-0000-0000BC020000}"/>
    <hyperlink ref="S991" r:id="rId484" xr:uid="{00000000-0004-0000-0000-0000BD020000}"/>
    <hyperlink ref="S992" r:id="rId485" xr:uid="{00000000-0004-0000-0000-0000BE020000}"/>
    <hyperlink ref="S995" r:id="rId486" xr:uid="{00000000-0004-0000-0000-0000BF020000}"/>
    <hyperlink ref="S996" r:id="rId487" xr:uid="{00000000-0004-0000-0000-0000C0020000}"/>
    <hyperlink ref="S998" r:id="rId488" xr:uid="{00000000-0004-0000-0000-0000C1020000}"/>
    <hyperlink ref="S999" r:id="rId489" xr:uid="{00000000-0004-0000-0000-0000C2020000}"/>
    <hyperlink ref="S1014" r:id="rId490" xr:uid="{00000000-0004-0000-0000-0000C3020000}"/>
    <hyperlink ref="S1015" r:id="rId491" xr:uid="{00000000-0004-0000-0000-0000C4020000}"/>
    <hyperlink ref="S1016" r:id="rId492" xr:uid="{00000000-0004-0000-0000-0000C5020000}"/>
    <hyperlink ref="S1017" r:id="rId493" xr:uid="{00000000-0004-0000-0000-0000C6020000}"/>
    <hyperlink ref="S1018" r:id="rId494" xr:uid="{00000000-0004-0000-0000-0000C7020000}"/>
    <hyperlink ref="S1019" r:id="rId495" xr:uid="{00000000-0004-0000-0000-0000C8020000}"/>
    <hyperlink ref="S1020" r:id="rId496" xr:uid="{00000000-0004-0000-0000-0000C9020000}"/>
    <hyperlink ref="S1021" r:id="rId497" xr:uid="{00000000-0004-0000-0000-0000CA020000}"/>
    <hyperlink ref="S1022" r:id="rId498" xr:uid="{00000000-0004-0000-0000-0000CB020000}"/>
    <hyperlink ref="S1023" r:id="rId499" xr:uid="{00000000-0004-0000-0000-0000E2020000}"/>
    <hyperlink ref="S1024" r:id="rId500" xr:uid="{00000000-0004-0000-0000-0000E3020000}"/>
    <hyperlink ref="S1025" r:id="rId501" xr:uid="{00000000-0004-0000-0000-0000E6020000}"/>
    <hyperlink ref="S1026" r:id="rId502" xr:uid="{00000000-0004-0000-0000-0000E7020000}"/>
    <hyperlink ref="S1027" r:id="rId503" xr:uid="{00000000-0004-0000-0000-0000E8020000}"/>
    <hyperlink ref="S1028" r:id="rId504" xr:uid="{00000000-0004-0000-0000-0000E9020000}"/>
    <hyperlink ref="S1029" r:id="rId505" xr:uid="{00000000-0004-0000-0000-0000EA020000}"/>
    <hyperlink ref="S1030" r:id="rId506" xr:uid="{00000000-0004-0000-0000-0000EB020000}"/>
    <hyperlink ref="S1031" r:id="rId507" xr:uid="{00000000-0004-0000-0000-0000ED020000}"/>
    <hyperlink ref="S1032" r:id="rId508" xr:uid="{00000000-0004-0000-0000-0000FB020000}"/>
    <hyperlink ref="S1033" r:id="rId509" xr:uid="{00000000-0004-0000-0000-0000FC020000}"/>
    <hyperlink ref="S1034" r:id="rId510" xr:uid="{00000000-0004-0000-0000-0000FD020000}"/>
    <hyperlink ref="S1035" r:id="rId511" xr:uid="{00000000-0004-0000-0000-0000FE020000}"/>
    <hyperlink ref="S1036" r:id="rId512" xr:uid="{00000000-0004-0000-0000-0000FF020000}"/>
    <hyperlink ref="S1037" r:id="rId513" xr:uid="{00000000-0004-0000-0000-000000030000}"/>
    <hyperlink ref="S1038" r:id="rId514" xr:uid="{00000000-0004-0000-0000-000001030000}"/>
    <hyperlink ref="S1057" r:id="rId515" xr:uid="{00000000-0004-0000-0000-000002030000}"/>
    <hyperlink ref="S1058" r:id="rId516" xr:uid="{00000000-0004-0000-0000-000003030000}"/>
    <hyperlink ref="S1063" r:id="rId517" xr:uid="{00000000-0004-0000-0000-000004030000}"/>
    <hyperlink ref="S1064" r:id="rId518" xr:uid="{00000000-0004-0000-0000-000005030000}"/>
    <hyperlink ref="S1065" r:id="rId519" xr:uid="{00000000-0004-0000-0000-000006030000}"/>
    <hyperlink ref="S1066" r:id="rId520" xr:uid="{00000000-0004-0000-0000-000007030000}"/>
    <hyperlink ref="S1067" r:id="rId521" xr:uid="{00000000-0004-0000-0000-000008030000}"/>
    <hyperlink ref="S1068" r:id="rId522" xr:uid="{00000000-0004-0000-0000-000009030000}"/>
    <hyperlink ref="S1089" r:id="rId523" xr:uid="{00000000-0004-0000-0000-00000C030000}"/>
    <hyperlink ref="S1094" r:id="rId524" xr:uid="{00000000-0004-0000-0000-00000D030000}"/>
    <hyperlink ref="S1101" r:id="rId525" xr:uid="{00000000-0004-0000-0000-00000E030000}"/>
    <hyperlink ref="S1102" r:id="rId526" xr:uid="{00000000-0004-0000-0000-00000F030000}"/>
    <hyperlink ref="S1103" r:id="rId527" xr:uid="{00000000-0004-0000-0000-000010030000}"/>
    <hyperlink ref="S1104" r:id="rId528" xr:uid="{00000000-0004-0000-0000-000011030000}"/>
    <hyperlink ref="S1105" r:id="rId529" xr:uid="{00000000-0004-0000-0000-000012030000}"/>
    <hyperlink ref="S268" r:id="rId530" xr:uid="{00000000-0004-0000-0000-0000CC000000}"/>
    <hyperlink ref="S273" r:id="rId531" xr:uid="{00000000-0004-0000-0000-0000F2000000}"/>
    <hyperlink ref="S372" r:id="rId532" xr:uid="{00000000-0004-0000-0000-000040010000}"/>
    <hyperlink ref="S373" r:id="rId533" xr:uid="{00000000-0004-0000-0000-000046010000}"/>
    <hyperlink ref="S379" r:id="rId534" xr:uid="{00000000-0004-0000-0000-000084010000}"/>
    <hyperlink ref="S1088" r:id="rId535" xr:uid="{00000000-0004-0000-0000-00000B030000}"/>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7"/>
  <sheetViews>
    <sheetView zoomScaleNormal="100" workbookViewId="0">
      <pane ySplit="1" topLeftCell="A3" activePane="bottomLeft" state="frozen"/>
      <selection pane="bottomLeft"/>
    </sheetView>
  </sheetViews>
  <sheetFormatPr defaultColWidth="8.6640625" defaultRowHeight="14.4" x14ac:dyDescent="0.3"/>
  <cols>
    <col min="1" max="1" width="16" customWidth="1"/>
    <col min="2" max="2" width="20" customWidth="1"/>
    <col min="3" max="3" width="34" customWidth="1"/>
  </cols>
  <sheetData>
    <row r="1" spans="1:3" x14ac:dyDescent="0.3">
      <c r="A1" s="1" t="s">
        <v>1279</v>
      </c>
      <c r="B1" s="1" t="s">
        <v>1280</v>
      </c>
      <c r="C1" s="1" t="s">
        <v>1281</v>
      </c>
    </row>
    <row r="2" spans="1:3" x14ac:dyDescent="0.3">
      <c r="A2" s="2" t="s">
        <v>27</v>
      </c>
      <c r="B2" s="2" t="s">
        <v>1282</v>
      </c>
      <c r="C2" s="2" t="s">
        <v>1283</v>
      </c>
    </row>
    <row r="3" spans="1:3" x14ac:dyDescent="0.3">
      <c r="A3" s="2" t="s">
        <v>86</v>
      </c>
      <c r="B3" s="2" t="s">
        <v>1284</v>
      </c>
      <c r="C3" s="2" t="s">
        <v>1285</v>
      </c>
    </row>
    <row r="4" spans="1:3" x14ac:dyDescent="0.3">
      <c r="A4" s="2" t="s">
        <v>40</v>
      </c>
      <c r="B4" s="2" t="s">
        <v>1286</v>
      </c>
      <c r="C4" s="2" t="s">
        <v>1287</v>
      </c>
    </row>
    <row r="5" spans="1:3" x14ac:dyDescent="0.3">
      <c r="A5" s="2" t="s">
        <v>323</v>
      </c>
      <c r="B5" s="2" t="s">
        <v>1286</v>
      </c>
      <c r="C5" s="2" t="s">
        <v>1287</v>
      </c>
    </row>
    <row r="6" spans="1:3" x14ac:dyDescent="0.3">
      <c r="A6" s="2" t="s">
        <v>128</v>
      </c>
      <c r="B6" s="2" t="s">
        <v>1282</v>
      </c>
      <c r="C6" s="2" t="s">
        <v>1288</v>
      </c>
    </row>
    <row r="7" spans="1:3" x14ac:dyDescent="0.3">
      <c r="A7" s="2" t="s">
        <v>50</v>
      </c>
      <c r="B7" s="2" t="s">
        <v>1289</v>
      </c>
      <c r="C7" s="2" t="s">
        <v>1290</v>
      </c>
    </row>
    <row r="8" spans="1:3" x14ac:dyDescent="0.3">
      <c r="A8" s="2" t="s">
        <v>254</v>
      </c>
      <c r="B8" s="2" t="s">
        <v>1284</v>
      </c>
      <c r="C8" s="2" t="s">
        <v>1291</v>
      </c>
    </row>
    <row r="9" spans="1:3" x14ac:dyDescent="0.3">
      <c r="A9" s="2" t="s">
        <v>273</v>
      </c>
      <c r="B9" s="2" t="s">
        <v>1289</v>
      </c>
      <c r="C9" s="2" t="s">
        <v>1292</v>
      </c>
    </row>
    <row r="10" spans="1:3" x14ac:dyDescent="0.3">
      <c r="A10" s="2" t="s">
        <v>163</v>
      </c>
      <c r="B10" s="2" t="s">
        <v>1289</v>
      </c>
      <c r="C10" s="2" t="s">
        <v>1293</v>
      </c>
    </row>
    <row r="11" spans="1:3" x14ac:dyDescent="0.3">
      <c r="A11" s="2" t="s">
        <v>23</v>
      </c>
      <c r="B11" s="2" t="s">
        <v>1289</v>
      </c>
      <c r="C11" s="2" t="s">
        <v>1294</v>
      </c>
    </row>
    <row r="12" spans="1:3" x14ac:dyDescent="0.3">
      <c r="A12" s="2" t="s">
        <v>14</v>
      </c>
      <c r="B12" s="2" t="s">
        <v>1289</v>
      </c>
      <c r="C12" s="2" t="s">
        <v>1283</v>
      </c>
    </row>
    <row r="13" spans="1:3" x14ac:dyDescent="0.3">
      <c r="A13" s="2" t="s">
        <v>213</v>
      </c>
      <c r="B13" s="2" t="s">
        <v>1295</v>
      </c>
      <c r="C13" s="2" t="s">
        <v>1287</v>
      </c>
    </row>
    <row r="14" spans="1:3" x14ac:dyDescent="0.3">
      <c r="A14" s="2" t="s">
        <v>250</v>
      </c>
      <c r="B14" s="2" t="s">
        <v>1296</v>
      </c>
      <c r="C14" s="2" t="s">
        <v>1297</v>
      </c>
    </row>
    <row r="15" spans="1:3" x14ac:dyDescent="0.3">
      <c r="A15" s="2" t="s">
        <v>734</v>
      </c>
      <c r="B15" s="2" t="s">
        <v>1282</v>
      </c>
      <c r="C15" s="2" t="s">
        <v>1283</v>
      </c>
    </row>
    <row r="16" spans="1:3" x14ac:dyDescent="0.3">
      <c r="A16" s="2" t="s">
        <v>545</v>
      </c>
      <c r="B16" s="2" t="s">
        <v>1289</v>
      </c>
      <c r="C16" s="2" t="s">
        <v>1298</v>
      </c>
    </row>
    <row r="17" spans="1:3" x14ac:dyDescent="0.3">
      <c r="A17" s="2" t="s">
        <v>123</v>
      </c>
      <c r="B17" s="2" t="s">
        <v>1289</v>
      </c>
      <c r="C17" s="2" t="s">
        <v>1299</v>
      </c>
    </row>
    <row r="18" spans="1:3" x14ac:dyDescent="0.3">
      <c r="A18" s="2" t="s">
        <v>104</v>
      </c>
      <c r="B18" s="2" t="s">
        <v>1286</v>
      </c>
      <c r="C18" s="2" t="s">
        <v>1300</v>
      </c>
    </row>
    <row r="19" spans="1:3" x14ac:dyDescent="0.3">
      <c r="A19" s="2" t="s">
        <v>562</v>
      </c>
      <c r="B19" s="2" t="s">
        <v>1301</v>
      </c>
      <c r="C19" s="2" t="s">
        <v>1302</v>
      </c>
    </row>
    <row r="20" spans="1:3" x14ac:dyDescent="0.3">
      <c r="A20" s="2" t="s">
        <v>534</v>
      </c>
      <c r="B20" s="2" t="s">
        <v>1295</v>
      </c>
      <c r="C20" s="2" t="s">
        <v>1294</v>
      </c>
    </row>
    <row r="21" spans="1:3" x14ac:dyDescent="0.3">
      <c r="A21" s="2" t="s">
        <v>530</v>
      </c>
      <c r="B21" s="2" t="s">
        <v>1284</v>
      </c>
      <c r="C21" s="2" t="s">
        <v>1294</v>
      </c>
    </row>
    <row r="22" spans="1:3" x14ac:dyDescent="0.3">
      <c r="A22" s="2" t="s">
        <v>108</v>
      </c>
      <c r="B22" s="2" t="s">
        <v>1286</v>
      </c>
      <c r="C22" s="2" t="s">
        <v>1303</v>
      </c>
    </row>
    <row r="23" spans="1:3" x14ac:dyDescent="0.3">
      <c r="A23" s="2" t="s">
        <v>65</v>
      </c>
      <c r="B23" s="2" t="s">
        <v>1289</v>
      </c>
      <c r="C23" s="2" t="s">
        <v>1304</v>
      </c>
    </row>
    <row r="24" spans="1:3" x14ac:dyDescent="0.3">
      <c r="A24" s="2" t="s">
        <v>826</v>
      </c>
      <c r="B24" s="2" t="s">
        <v>1289</v>
      </c>
      <c r="C24" s="2" t="s">
        <v>1304</v>
      </c>
    </row>
    <row r="25" spans="1:3" x14ac:dyDescent="0.3">
      <c r="A25" s="2" t="s">
        <v>297</v>
      </c>
      <c r="B25" s="2" t="s">
        <v>1286</v>
      </c>
      <c r="C25" s="2" t="s">
        <v>1305</v>
      </c>
    </row>
    <row r="26" spans="1:3" x14ac:dyDescent="0.3">
      <c r="A26" s="2" t="s">
        <v>137</v>
      </c>
      <c r="B26" s="2" t="s">
        <v>1295</v>
      </c>
      <c r="C26" s="2" t="s">
        <v>1306</v>
      </c>
    </row>
    <row r="27" spans="1:3" x14ac:dyDescent="0.3">
      <c r="A27" s="2" t="s">
        <v>615</v>
      </c>
      <c r="B27" s="2" t="s">
        <v>1282</v>
      </c>
      <c r="C27" s="2" t="s">
        <v>1288</v>
      </c>
    </row>
  </sheetData>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zoomScaleNormal="100" workbookViewId="0"/>
  </sheetViews>
  <sheetFormatPr defaultColWidth="8.6640625" defaultRowHeight="14.4" x14ac:dyDescent="0.3"/>
  <cols>
    <col min="1" max="1" width="26" customWidth="1"/>
    <col min="2" max="2" width="16" customWidth="1"/>
  </cols>
  <sheetData>
    <row r="1" spans="1:2" x14ac:dyDescent="0.3">
      <c r="A1" s="1" t="s">
        <v>1307</v>
      </c>
      <c r="B1" s="1" t="s">
        <v>1279</v>
      </c>
    </row>
    <row r="2" spans="1:2" x14ac:dyDescent="0.3">
      <c r="A2" s="2" t="s">
        <v>44</v>
      </c>
      <c r="B2" s="2" t="s">
        <v>530</v>
      </c>
    </row>
    <row r="3" spans="1:2" x14ac:dyDescent="0.3">
      <c r="A3" s="2" t="s">
        <v>119</v>
      </c>
      <c r="B3" s="2" t="s">
        <v>137</v>
      </c>
    </row>
    <row r="4" spans="1:2" x14ac:dyDescent="0.3">
      <c r="A4" s="2" t="s">
        <v>193</v>
      </c>
      <c r="B4" s="2" t="s">
        <v>137</v>
      </c>
    </row>
    <row r="5" spans="1:2" x14ac:dyDescent="0.3">
      <c r="A5" s="2" t="s">
        <v>149</v>
      </c>
      <c r="B5" s="2" t="s">
        <v>50</v>
      </c>
    </row>
    <row r="6" spans="1:2" x14ac:dyDescent="0.3">
      <c r="A6" s="2" t="s">
        <v>60</v>
      </c>
      <c r="B6" s="2" t="s">
        <v>534</v>
      </c>
    </row>
    <row r="7" spans="1:2" x14ac:dyDescent="0.3">
      <c r="A7" s="2" t="s">
        <v>438</v>
      </c>
      <c r="B7" s="2" t="s">
        <v>27</v>
      </c>
    </row>
  </sheetData>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Data</vt:lpstr>
      <vt:lpstr>Best Months</vt:lpstr>
      <vt:lpstr>Destination Alias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WANNIARACHCHI P M it22225092</cp:lastModifiedBy>
  <cp:revision>0</cp:revision>
  <dcterms:created xsi:type="dcterms:W3CDTF">2026-10-05T00:48:53Z</dcterms:created>
  <dcterms:modified xsi:type="dcterms:W3CDTF">2026-10-08T08:43:00Z</dcterms:modified>
  <dc:language>en-US</dc:language>
</cp:coreProperties>
</file>